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e12d4b8a324a9b" /></Relationships>
</file>

<file path=xl/workbook.xml><?xml version="1.0" encoding="utf-8"?>
<x:workbook xmlns:x="http://schemas.openxmlformats.org/spreadsheetml/2006/main">
  <x:sheets>
    <x:sheet xmlns:r="http://schemas.openxmlformats.org/officeDocument/2006/relationships" name="Summary" sheetId="1" r:id="R33218ba4c9ce448c"/>
    <x:sheet xmlns:r="http://schemas.openxmlformats.org/officeDocument/2006/relationships" name="Story Tracker" sheetId="2" r:id="R30a4526a3751432f"/>
    <x:sheet xmlns:r="http://schemas.openxmlformats.org/officeDocument/2006/relationships" name="Test Matrix" sheetId="3" r:id="R6b2ac63806414db6"/>
    <x:sheet xmlns:r="http://schemas.openxmlformats.org/officeDocument/2006/relationships" name="Story Test Cases" sheetId="4" r:id="R8e385ec332ba478f"/>
    <x:sheet xmlns:r="http://schemas.openxmlformats.org/officeDocument/2006/relationships" name="Defects" sheetId="5" r:id="R37fcc06202e24e59"/>
    <x:sheet xmlns:r="http://schemas.openxmlformats.org/officeDocument/2006/relationships" name="Notes" sheetId="6" r:id="R993fd092a7b0488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sz val="11"/>
      <x:color rgb="FF111827"/>
      <x:name val="Carlito"/>
    </x:font>
    <x:font>
      <x:b/>
      <x:sz val="16"/>
      <x:color rgb="FFFFFFFF"/>
      <x:name val="Carlito"/>
    </x:font>
    <x:font>
      <x:sz val="11"/>
      <x:color rgb="FF6B7280"/>
      <x:name val="Carlito"/>
    </x:font>
    <x:font>
      <x:b/>
      <x:sz val="14"/>
      <x:color rgb="FFFFFFFF"/>
      <x:name val="Carlito"/>
    </x:font>
    <x:font>
      <x:b/>
      <x:sz val="11"/>
      <x:name val="Carlito"/>
    </x:font>
  </x:fonts>
  <x:fills count="5">
    <x:fill>
      <x:patternFill patternType="none"/>
    </x:fill>
    <x:fill>
      <x:patternFill patternType="gray125"/>
    </x:fill>
    <x:fill>
      <x:patternFill patternType="solid">
        <x:fgColor rgb="FF1F2937"/>
      </x:patternFill>
    </x:fill>
    <x:fill>
      <x:patternFill patternType="solid">
        <x:fgColor rgb="FFFF5733"/>
      </x:patternFill>
    </x:fill>
    <x:fill>
      <x:patternFill patternType="solid">
        <x:fgColor rgb="FFFFF4EF"/>
      </x:patternFill>
    </x:fill>
  </x:fills>
  <x:borders count="2">
    <x:border/>
    <x:border>
      <x:left style="thin">
        <x:color rgb="FFD9DEE8"/>
      </x:left>
      <x:right style="thin">
        <x:color rgb="FFD9DEE8"/>
      </x:right>
      <x:top style="thin">
        <x:color rgb="FFD9DEE8"/>
      </x:top>
      <x:bottom style="thin">
        <x:color rgb="FFD9DEE8"/>
      </x:bottom>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1"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5" fillId="2" borderId="0" xfId="0" applyNumberFormat="1" applyFont="1" applyFill="1" applyBorder="1"/>
    <x:xf numFmtId="0" fontId="0" fillId="4" borderId="1" xfId="0" applyNumberFormat="1" applyFont="1" applyFill="1" applyBorder="1"/>
    <x:xf numFmtId="0" fontId="6"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27098b21a549b7" /><Relationship Type="http://schemas.openxmlformats.org/officeDocument/2006/relationships/theme" Target="/xl/theme/theme1.xml" Id="Rc7e2ae922bfe4d45" /><Relationship Type="http://schemas.openxmlformats.org/officeDocument/2006/relationships/sharedStrings" Target="/xl/sharedStrings.xml" Id="R062192ecc3ff448f" /><Relationship Type="http://schemas.openxmlformats.org/officeDocument/2006/relationships/worksheet" Target="/xl/worksheets/sheet1.xml" Id="R33218ba4c9ce448c" /><Relationship Type="http://schemas.openxmlformats.org/officeDocument/2006/relationships/worksheet" Target="/xl/worksheets/sheet2.xml" Id="R30a4526a3751432f" /><Relationship Type="http://schemas.openxmlformats.org/officeDocument/2006/relationships/worksheet" Target="/xl/worksheets/sheet3.xml" Id="R6b2ac63806414db6" /><Relationship Type="http://schemas.openxmlformats.org/officeDocument/2006/relationships/worksheet" Target="/xl/worksheets/sheet4.xml" Id="R8e385ec332ba478f" /><Relationship Type="http://schemas.openxmlformats.org/officeDocument/2006/relationships/worksheet" Target="/xl/worksheets/sheet5.xml" Id="R37fcc06202e24e59" /><Relationship Type="http://schemas.openxmlformats.org/officeDocument/2006/relationships/worksheet" Target="/xl/worksheets/sheet6.xml" Id="R993fd092a7b0488c" /></Relationships>
</file>

<file path=xl/tables/table1.xml><?xml version="1.0" encoding="utf-8"?>
<x:table xmlns:x="http://schemas.openxmlformats.org/spreadsheetml/2006/main" id="1" name="StoryTrackerTable" displayName="StoryTrackerTable" ref="A1:O88" headerRowCount="1">
  <x:tableColumns count="15">
    <x:tableColumn id="1" name="ID"/>
    <x:tableColumn id="2" name="Area"/>
    <x:tableColumn id="3" name="Feature"/>
    <x:tableColumn id="4" name="User story"/>
    <x:tableColumn id="5" name="Expected behavior"/>
    <x:tableColumn id="6" name="Source code"/>
    <x:tableColumn id="7" name="Route / Surface"/>
    <x:tableColumn id="8" name="Status"/>
    <x:tableColumn id="9" name="Confidence"/>
    <x:tableColumn id="10" name="Priority"/>
    <x:tableColumn id="11" name="Test status"/>
    <x:tableColumn id="12" name="Error IDs"/>
    <x:tableColumn id="13" name="Fix status"/>
    <x:tableColumn id="14" name="Test case file"/>
    <x:tableColumn id="15" name="Notes"/>
  </x:tableColumns>
  <x:tableStyleInfo name="TableStyleMedium2" showRowStripes="1"/>
</x:table>
</file>

<file path=xl/tables/table2.xml><?xml version="1.0" encoding="utf-8"?>
<x:table xmlns:x="http://schemas.openxmlformats.org/spreadsheetml/2006/main" id="2" name="TestMatrixTable" displayName="TestMatrixTable" ref="A1:G16" headerRowCount="1">
  <x:tableColumns count="7">
    <x:tableColumn id="1" name="Test ID"/>
    <x:tableColumn id="2" name="Stories covered"/>
    <x:tableColumn id="3" name="Behavior group"/>
    <x:tableColumn id="4" name="Test level"/>
    <x:tableColumn id="5" name="Key edge cases"/>
    <x:tableColumn id="6" name="Planned file"/>
    <x:tableColumn id="7" name="Status"/>
  </x:tableColumns>
  <x:tableStyleInfo name="TableStyleMedium2" showRowStripes="1"/>
</x:table>
</file>

<file path=xl/tables/table3.xml><?xml version="1.0" encoding="utf-8"?>
<x:table xmlns:x="http://schemas.openxmlformats.org/spreadsheetml/2006/main" id="3" name="StoryTestCasesTable" displayName="StoryTestCasesTable" ref="A1:N88" headerRowCount="1">
  <x:tableColumns count="14">
    <x:tableColumn id="1" name="Case ID"/>
    <x:tableColumn id="2" name="Story ID"/>
    <x:tableColumn id="3" name="Area"/>
    <x:tableColumn id="4" name="Feature"/>
    <x:tableColumn id="5" name="Route / Surface"/>
    <x:tableColumn id="6" name="Happy path / expected assertion"/>
    <x:tableColumn id="7" name="Edge cases"/>
    <x:tableColumn id="8" name="Target file"/>
    <x:tableColumn id="9" name="Priority"/>
    <x:tableColumn id="10" name="Automation status"/>
    <x:tableColumn id="11" name="Current test status"/>
    <x:tableColumn id="12" name="Linked defects"/>
    <x:tableColumn id="13" name="Fix status"/>
    <x:tableColumn id="14" name="Notes"/>
  </x:tableColumns>
  <x:tableStyleInfo name="TableStyleMedium2" showRowStripes="1"/>
</x:table>
</file>

<file path=xl/tables/table4.xml><?xml version="1.0" encoding="utf-8"?>
<x:table xmlns:x="http://schemas.openxmlformats.org/spreadsheetml/2006/main" id="4" name="DefectsTable" displayName="DefectsTable" ref="A1:I8" headerRowCount="1">
  <x:tableColumns count="9">
    <x:tableColumn id="1" name="Defect ID"/>
    <x:tableColumn id="2" name="Story ID"/>
    <x:tableColumn id="3" name="Title"/>
    <x:tableColumn id="4" name="Observed / Risk"/>
    <x:tableColumn id="5" name="Source code"/>
    <x:tableColumn id="6" name="Priority"/>
    <x:tableColumn id="7" name="Status"/>
    <x:tableColumn id="8" name="Resolution plan"/>
    <x:tableColumn id="9" name="Retest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82da9e93014ff0" /></Relationships>
</file>

<file path=xl/worksheets/_rels/sheet3.xml.rels>&#65279;<?xml version="1.0" encoding="utf-8"?><Relationships xmlns="http://schemas.openxmlformats.org/package/2006/relationships"><Relationship Type="http://schemas.openxmlformats.org/officeDocument/2006/relationships/table" Target="/xl/tables/table2.xml" Id="Rc914a061e1eb4b0c" /></Relationships>
</file>

<file path=xl/worksheets/_rels/sheet4.xml.rels>&#65279;<?xml version="1.0" encoding="utf-8"?><Relationships xmlns="http://schemas.openxmlformats.org/package/2006/relationships"><Relationship Type="http://schemas.openxmlformats.org/officeDocument/2006/relationships/table" Target="/xl/tables/table3.xml" Id="R340e415ab9684eed" /></Relationships>
</file>

<file path=xl/worksheets/_rels/sheet5.xml.rels>&#65279;<?xml version="1.0" encoding="utf-8"?><Relationships xmlns="http://schemas.openxmlformats.org/package/2006/relationships"><Relationship Type="http://schemas.openxmlformats.org/officeDocument/2006/relationships/table" Target="/xl/tables/table4.xml" Id="R8525d2cd445a4226" /></Relationships>
</file>

<file path=xl/worksheets/sheet1.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15.5600004196167" hidden="0" customWidth="1"/>
    <x:col min="4" max="4" width="17.780000686645508" hidden="0" customWidth="1"/>
    <x:col min="5" max="5" width="10" hidden="0" customWidth="1"/>
    <x:col min="6" max="6" width="46.66999816894531" hidden="0" customWidth="1"/>
  </x:cols>
  <x:sheetData>
    <x:row r="1">
      <x:c r="A1" s="8" t="str">
        <x:v>Matterport Clone Feature Story Tracker</x:v>
      </x:c>
    </x:row>
    <x:row r="2">
      <x:c r="A2" s="10" t="str">
        <x:v>Canonical status workbook generated from code inventory. Last updated: 2026-06-30</x:v>
      </x:c>
    </x:row>
    <x:row r="4">
      <x:c r="A4" s="3" t="str">
        <x:v>Metric</x:v>
      </x:c>
      <x:c r="B4" s="3" t="str">
        <x:v>Value</x:v>
      </x:c>
      <x:c r="D4" s="3" t="str">
        <x:v>Status</x:v>
      </x:c>
      <x:c r="E4" s="3" t="str">
        <x:v>Count</x:v>
      </x:c>
      <x:c r="F4" s="3" t="str">
        <x:v>Notes</x:v>
      </x:c>
    </x:row>
    <x:row r="5">
      <x:c r="A5" s="1" t="str">
        <x:v>Total stories</x:v>
      </x:c>
      <x:c r="B5" s="1" t="n">
        <x:f>COUNTA('Story Tracker'!A2:A88)</x:f>
        <x:v>87</x:v>
      </x:c>
      <x:c r="D5" s="1" t="str">
        <x:v>Code inferred</x:v>
      </x:c>
      <x:c r="E5" s="1" t="n">
        <x:f>COUNTIF('Story Tracker'!H2:H88,D5)</x:f>
        <x:v>68</x:v>
      </x:c>
      <x:c r="F5" s="4" t="str">
        <x:v>Documented from implementation before full test pass.</x:v>
      </x:c>
    </x:row>
    <x:row r="6">
      <x:c r="A6" s="1" t="str">
        <x:v>Open defects</x:v>
      </x:c>
      <x:c r="B6" s="1" t="n">
        <x:f>COUNTIF('Defects'!G2:G8,"Open")</x:f>
        <x:v>0</x:v>
      </x:c>
      <x:c r="D6" s="1" t="str">
        <x:v>Tested - pass</x:v>
      </x:c>
      <x:c r="E6" s="1" t="n">
        <x:f>COUNTIF('Story Tracker'!H2:H88,D6)</x:f>
        <x:v>11</x:v>
      </x:c>
      <x:c r="F6" s="4" t="str">
        <x:v>Manual or automated behavior verified.</x:v>
      </x:c>
    </x:row>
    <x:row r="7">
      <x:c r="A7" s="1" t="str">
        <x:v>P0 stories</x:v>
      </x:c>
      <x:c r="B7" s="1" t="n">
        <x:f>COUNTIF('Story Tracker'!J2:J88,"P0")</x:f>
        <x:v>30</x:v>
      </x:c>
      <x:c r="D7" s="1" t="str">
        <x:v>Tested - issues found</x:v>
      </x:c>
      <x:c r="E7" s="1" t="n">
        <x:f>COUNTIF('Story Tracker'!H2:H88,D7)</x:f>
        <x:v>0</x:v>
      </x:c>
      <x:c r="F7" s="4" t="str">
        <x:v>Defect log contains matching IDs.</x:v>
      </x:c>
    </x:row>
    <x:row r="8">
      <x:c r="A8" s="1" t="str">
        <x:v>P1 stories</x:v>
      </x:c>
      <x:c r="B8" s="1" t="n">
        <x:f>COUNTIF('Story Tracker'!J2:J88,"P1")</x:f>
        <x:v>38</x:v>
      </x:c>
      <x:c r="D8" s="1" t="str">
        <x:v>Fixed - needs retest</x:v>
      </x:c>
      <x:c r="E8" s="1" t="n">
        <x:f>COUNTIF('Story Tracker'!H2:H88,D8)</x:f>
        <x:v>0</x:v>
      </x:c>
      <x:c r="F8" s="4" t="str">
        <x:v>Code changed and waiting for retest.</x:v>
      </x:c>
    </x:row>
    <x:row r="9">
      <x:c r="A9" s="1" t="str">
        <x:v>Stories with pending tests</x:v>
      </x:c>
      <x:c r="B9" s="1" t="n">
        <x:f>COUNTIF('Story Tracker'!K2:K88,"Pending")</x:f>
        <x:v>68</x:v>
      </x:c>
      <x:c r="D9" s="1" t="str">
        <x:v>Retested - pass</x:v>
      </x:c>
      <x:c r="E9" s="1" t="n">
        <x:f>COUNTIF('Story Tracker'!H2:H88,D9)</x:f>
        <x:v>8</x:v>
      </x:c>
      <x:c r="F9" s="4" t="str">
        <x:v>Post-fix behavior verified.</x:v>
      </x:c>
    </x:row>
    <x:row r="10">
      <x:c r="A10" s="1" t="str">
        <x:v>Stories with issue IDs</x:v>
      </x:c>
      <x:c r="B10" s="1" t="n">
        <x:f>COUNTA('Defects'!B2:B8)</x:f>
        <x:v>7</x:v>
      </x:c>
      <x:c r="D10" s="1" t="str">
        <x:v>Blocked</x:v>
      </x:c>
      <x:c r="E10" s="1" t="n">
        <x:f>COUNTIF('Story Tracker'!H2:H88,D10)</x:f>
        <x:v>0</x:v>
      </x:c>
      <x:c r="F10" s="4" t="str">
        <x:v>External dependency or missing environment.</x:v>
      </x:c>
    </x:row>
    <x:row r="11">
      <x:c r="A11" s="1" t="str">
        <x:v>Planned test groups</x:v>
      </x:c>
      <x:c r="B11" s="1" t="n">
        <x:f>COUNTA('Test Matrix'!A2:A16)</x:f>
        <x:v>15</x:v>
      </x:c>
      <x:c r="D11" s="1" t="str">
        <x:v>Backlog / unlinked</x:v>
      </x:c>
      <x:c r="E11" s="1" t="n">
        <x:f>COUNTIF('Story Tracker'!H2:H88,D11)</x:f>
        <x:v>0</x:v>
      </x:c>
      <x:c r="F11" s="4" t="str">
        <x:v>Code exists but no active entry point or deferred product surface.</x:v>
      </x:c>
    </x:row>
    <x:row r="12">
      <x:c r="A12" s="1" t="str">
        <x:v>Automated coverage complete</x:v>
      </x:c>
      <x:c r="B12" s="1" t="n">
        <x:f>COUNTIF('Story Tracker'!K2:K88,"Automated pass")</x:f>
        <x:v>19</x:v>
      </x:c>
    </x:row>
    <x:row r="13">
      <x:c r="A13" s="1" t="str">
        <x:v>Story-level test cases</x:v>
      </x:c>
      <x:c r="B13" s="1" t="n">
        <x:f>COUNTA('Story Test Cases'!A2:A88)</x:f>
        <x:v>87</x:v>
      </x:c>
    </x:row>
    <x:row r="14">
      <x:c r="A14" s="1" t="str">
        <x:v>Implemented story cases</x:v>
      </x:c>
      <x:c r="B14" s="1" t="n">
        <x:f>COUNTIF('Story Test Cases'!J2:J88,"Implemented")+COUNTIF('Story Test Cases'!J2:J88,"Implemented / smoke")</x:f>
        <x:v>19</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4" hidden="0" customWidth="1"/>
    <x:col min="3" max="3" width="21.110000610351562" hidden="0" customWidth="1"/>
    <x:col min="4" max="4" width="35.560001373291016" hidden="0" customWidth="1"/>
    <x:col min="5" max="5" width="51.11000061035156" hidden="0" customWidth="1"/>
    <x:col min="6" max="6" width="28.889999389648438" hidden="0" customWidth="1"/>
    <x:col min="7" max="7" width="18.889999389648438" hidden="0" customWidth="1"/>
    <x:col min="8" max="8" width="14.4399995803833" hidden="0" customWidth="1"/>
    <x:col min="9" max="9" width="11.670000076293945" hidden="0" customWidth="1"/>
    <x:col min="10" max="10" width="9.329999923706055" hidden="0" customWidth="1"/>
    <x:col min="11" max="11" width="13.329999923706055" hidden="0" customWidth="1"/>
    <x:col min="12" max="12" width="12.220000267028809" hidden="0" customWidth="1"/>
    <x:col min="13" max="13" width="12.220000267028809" hidden="0" customWidth="1"/>
    <x:col min="14" max="14" width="28.889999389648438" hidden="0" customWidth="1"/>
    <x:col min="15" max="15" width="26.670000076293945" hidden="0" customWidth="1"/>
  </x:cols>
  <x:sheetData>
    <x:row r="1" ht="24" customHeight="1">
      <x:c r="A1" s="3" t="str">
        <x:v>ID</x:v>
      </x:c>
      <x:c r="B1" s="3" t="str">
        <x:v>Area</x:v>
      </x:c>
      <x:c r="C1" s="3" t="str">
        <x:v>Feature</x:v>
      </x:c>
      <x:c r="D1" s="3" t="str">
        <x:v>User story</x:v>
      </x:c>
      <x:c r="E1" s="3" t="str">
        <x:v>Expected behavior</x:v>
      </x:c>
      <x:c r="F1" s="3" t="str">
        <x:v>Source code</x:v>
      </x:c>
      <x:c r="G1" s="3" t="str">
        <x:v>Route / Surface</x:v>
      </x:c>
      <x:c r="H1" s="3" t="str">
        <x:v>Status</x:v>
      </x:c>
      <x:c r="I1" s="3" t="str">
        <x:v>Confidence</x:v>
      </x:c>
      <x:c r="J1" s="3" t="str">
        <x:v>Priority</x:v>
      </x:c>
      <x:c r="K1" s="3" t="str">
        <x:v>Test status</x:v>
      </x:c>
      <x:c r="L1" s="3" t="str">
        <x:v>Error IDs</x:v>
      </x:c>
      <x:c r="M1" s="3" t="str">
        <x:v>Fix status</x:v>
      </x:c>
      <x:c r="N1" s="3" t="str">
        <x:v>Test case file</x:v>
      </x:c>
      <x:c r="O1" s="3" t="str">
        <x:v>Notes</x:v>
      </x:c>
    </x:row>
    <x:row r="2" ht="51" customHeight="1">
      <x:c r="A2" s="5" t="str">
        <x:v>APP-001</x:v>
      </x:c>
      <x:c r="B2" s="5" t="str">
        <x:v>App Shell</x:v>
      </x:c>
      <x:c r="C2" s="5" t="str">
        <x:v>Boot, auth init, theme init</x:v>
      </x:c>
      <x:c r="D2" s="6" t="str">
        <x:v>As a returning user, I want the app to restore my session and theme before showing protected content.</x:v>
      </x:c>
      <x:c r="E2" s="6" t="str">
        <x:v>On launch, the app checks Supabase tokens, loads the current user when possible, preserves valid sessions during transient backend errors, applies light/dark/system theme, and shows a loading state while auth initializes.</x:v>
      </x:c>
      <x:c r="F2" s="6" t="str">
        <x:v>src/App.tsx; src/stores/authStore.ts; src/stores/uiStore.ts</x:v>
      </x:c>
      <x:c r="G2" s="5" t="str">
        <x:v>All routes</x:v>
      </x:c>
      <x:c r="H2" s="5" t="str">
        <x:v>Code inferred</x:v>
      </x:c>
      <x:c r="I2" s="5" t="str">
        <x:v>High</x:v>
      </x:c>
      <x:c r="J2" s="5" t="str">
        <x:v>P0</x:v>
      </x:c>
      <x:c r="K2" s="5" t="str">
        <x:v>Pending</x:v>
      </x:c>
      <x:c r="L2" s="5" t="str"/>
      <x:c r="M2" s="5" t="str">
        <x:v>Not started</x:v>
      </x:c>
      <x:c r="N2" s="6" t="str"/>
      <x:c r="O2" s="6" t="str"/>
    </x:row>
    <x:row r="3" ht="51" customHeight="1">
      <x:c r="A3" s="5" t="str">
        <x:v>APP-002</x:v>
      </x:c>
      <x:c r="B3" s="5" t="str">
        <x:v>App Shell</x:v>
      </x:c>
      <x:c r="C3" s="5" t="str">
        <x:v>Protected routing</x:v>
      </x:c>
      <x:c r="D3" s="6" t="str">
        <x:v>As an unauthenticated visitor, I want protected pages to redirect me to login while preserving my intended destination.</x:v>
      </x:c>
      <x:c r="E3" s="6" t="str">
        <x:v>Protected routes only render after authentication; unauthenticated access redirects to login with route state; authenticated visits to root redirect to dashboard.</x:v>
      </x:c>
      <x:c r="F3" s="6" t="str">
        <x:v>src/lib/router.tsx; src/components/features/ProtectedRoute.tsx</x:v>
      </x:c>
      <x:c r="G3" s="5" t="str">
        <x:v>Protected routes</x:v>
      </x:c>
      <x:c r="H3" s="5" t="str">
        <x:v>Tested - pass</x:v>
      </x:c>
      <x:c r="I3" s="5" t="str">
        <x:v>High</x:v>
      </x:c>
      <x:c r="J3" s="5" t="str">
        <x:v>P0</x:v>
      </x:c>
      <x:c r="K3" s="5" t="str">
        <x:v>Automated pass</x:v>
      </x:c>
      <x:c r="L3" s="5" t="str"/>
      <x:c r="M3" s="5" t="str">
        <x:v>Not needed</x:v>
      </x:c>
      <x:c r="N3" s="6" t="str">
        <x:v>e2e/dashboard.spec.ts; e2e/tours.spec.ts</x:v>
      </x:c>
      <x:c r="O3" s="6" t="str">
        <x:v>Chromium E2E covers unauthenticated redirects for protected dashboard/profile/settings/analytics/tour routes.</x:v>
      </x:c>
    </x:row>
    <x:row r="4" ht="51" customHeight="1">
      <x:c r="A4" s="5" t="str">
        <x:v>APP-003</x:v>
      </x:c>
      <x:c r="B4" s="5" t="str">
        <x:v>App Shell</x:v>
      </x:c>
      <x:c r="C4" s="5" t="str">
        <x:v>Global errors and recovery</x:v>
      </x:c>
      <x:c r="D4" s="6" t="str">
        <x:v>As a user, I want clear recovery paths when the app or network fails.</x:v>
      </x:c>
      <x:c r="E4" s="6" t="str">
        <x:v>The root mounts an error boundary, global error handler, offline indicator, toast stack, and styled confirmation dialog.</x:v>
      </x:c>
      <x:c r="F4" s="6" t="str">
        <x:v>src/App.tsx; src/components/features/ErrorBoundary.tsx; src/components/common/GlobalErrorHandler.tsx; src/components/common/OfflineIndicator.tsx; src/components/ui/ConfirmDialog.tsx</x:v>
      </x:c>
      <x:c r="G4" s="5" t="str">
        <x:v>All routes</x:v>
      </x:c>
      <x:c r="H4" s="5" t="str">
        <x:v>Code inferred</x:v>
      </x:c>
      <x:c r="I4" s="5" t="str">
        <x:v>High</x:v>
      </x:c>
      <x:c r="J4" s="5" t="str">
        <x:v>P0</x:v>
      </x:c>
      <x:c r="K4" s="5" t="str">
        <x:v>Pending</x:v>
      </x:c>
      <x:c r="L4" s="5" t="str"/>
      <x:c r="M4" s="5" t="str">
        <x:v>Not started</x:v>
      </x:c>
      <x:c r="N4" s="6" t="str"/>
      <x:c r="O4" s="6" t="str"/>
    </x:row>
    <x:row r="5" ht="51" customHeight="1">
      <x:c r="A5" s="5" t="str">
        <x:v>APP-004</x:v>
      </x:c>
      <x:c r="B5" s="5" t="str">
        <x:v>App Shell</x:v>
      </x:c>
      <x:c r="C5" s="5" t="str">
        <x:v>Dashboard layout and navigation</x:v>
      </x:c>
      <x:c r="D5" s="6" t="str">
        <x:v>As a signed-in user, I want stable navigation across core work areas.</x:v>
      </x:c>
      <x:c r="E5" s="6" t="str">
        <x:v>Dashboard layout exposes sidebar/header navigation for Dashboard, Tours, Media, Analytics, Profile, and Settings, with responsive sidebar behavior.</x:v>
      </x:c>
      <x:c r="F5" s="6" t="str">
        <x:v>src/components/layout/DashboardLayout.tsx; src/components/layout/Sidebar.tsx; src/components/layout/Header.tsx; src/constants/routes.ts</x:v>
      </x:c>
      <x:c r="G5" s="5" t="str">
        <x:v>Protected layout</x:v>
      </x:c>
      <x:c r="H5" s="5" t="str">
        <x:v>Code inferred</x:v>
      </x:c>
      <x:c r="I5" s="5" t="str">
        <x:v>High</x:v>
      </x:c>
      <x:c r="J5" s="5" t="str">
        <x:v>P1</x:v>
      </x:c>
      <x:c r="K5" s="5" t="str">
        <x:v>Pending</x:v>
      </x:c>
      <x:c r="L5" s="5" t="str"/>
      <x:c r="M5" s="5" t="str">
        <x:v>Not started</x:v>
      </x:c>
      <x:c r="N5" s="6" t="str"/>
      <x:c r="O5" s="6" t="str"/>
    </x:row>
    <x:row r="6" ht="51" customHeight="1">
      <x:c r="A6" s="5" t="str">
        <x:v>APP-005</x:v>
      </x:c>
      <x:c r="B6" s="5" t="str">
        <x:v>App Shell</x:v>
      </x:c>
      <x:c r="C6" s="5" t="str">
        <x:v>Toasts and confirmations</x:v>
      </x:c>
      <x:c r="D6" s="6" t="str">
        <x:v>As a user, I want non-blocking feedback and consistent confirmations for risky actions.</x:v>
      </x:c>
      <x:c r="E6" s="6" t="str">
        <x:v>Toast helpers show success/error/warning/info messages with auto-dismiss; confirmation store resolves styled destructive or normal confirmations.</x:v>
      </x:c>
      <x:c r="F6" s="6" t="str">
        <x:v>src/hooks/useToast.ts; src/components/ui/Toaster.tsx; src/stores/confirmStore.ts; src/components/ui/ConfirmDialog.tsx</x:v>
      </x:c>
      <x:c r="G6" s="5" t="str">
        <x:v>All routes</x:v>
      </x:c>
      <x:c r="H6" s="5" t="str">
        <x:v>Retested - pass</x:v>
      </x:c>
      <x:c r="I6" s="5" t="str">
        <x:v>High</x:v>
      </x:c>
      <x:c r="J6" s="5" t="str">
        <x:v>P1</x:v>
      </x:c>
      <x:c r="K6" s="5" t="str">
        <x:v>Automated pass</x:v>
      </x:c>
      <x:c r="L6" s="5" t="str">
        <x:v>DEF-001, DEF-002</x:v>
      </x:c>
      <x:c r="M6" s="5" t="str">
        <x:v>Retested</x:v>
      </x:c>
      <x:c r="N6" s="6" t="str">
        <x:v>src/test/user-behaviors/editor/upload-confirmations.test.tsx</x:v>
      </x:c>
      <x:c r="O6" s="6" t="str">
        <x:v>Native confirms replaced with styled confirm flow for panorama and video uploaders.</x:v>
      </x:c>
    </x:row>
    <x:row r="7" ht="51" customHeight="1">
      <x:c r="A7" s="5" t="str">
        <x:v>LAND-001</x:v>
      </x:c>
      <x:c r="B7" s="5" t="str">
        <x:v>Landing</x:v>
      </x:c>
      <x:c r="C7" s="5" t="str">
        <x:v>Public marketing home</x:v>
      </x:c>
      <x:c r="D7" s="6" t="str">
        <x:v>As a visitor, I want to understand the product and start authentication quickly.</x:v>
      </x:c>
      <x:c r="E7" s="6" t="str">
        <x:v>The home page renders SEO tags, hero, proof, AI showcase, process, features, pricing, and CTA sections inside the public layout.</x:v>
      </x:c>
      <x:c r="F7" s="6" t="str">
        <x:v>src/pages/HomePage.tsx; src/components/landing/*</x:v>
      </x:c>
      <x:c r="G7" s="5" t="str">
        <x:v>/</x:v>
      </x:c>
      <x:c r="H7" s="5" t="str">
        <x:v>Tested - pass</x:v>
      </x:c>
      <x:c r="I7" s="5" t="str">
        <x:v>Medium</x:v>
      </x:c>
      <x:c r="J7" s="5" t="str">
        <x:v>P2</x:v>
      </x:c>
      <x:c r="K7" s="5" t="str">
        <x:v>Automated pass</x:v>
      </x:c>
      <x:c r="L7" s="5" t="str"/>
      <x:c r="M7" s="5" t="str">
        <x:v>Not needed</x:v>
      </x:c>
      <x:c r="N7" s="6" t="str">
        <x:v>e2e/landing.spec.ts; e2e/performance.spec.ts</x:v>
      </x:c>
      <x:c r="O7" s="6" t="str">
        <x:v>Chromium E2E covers landing render, navigation links, responsive viewports, SEO/meta smoke, and no page-load console errors.</x:v>
      </x:c>
    </x:row>
    <x:row r="8" ht="51" customHeight="1">
      <x:c r="A8" s="5" t="str">
        <x:v>LAND-002</x:v>
      </x:c>
      <x:c r="B8" s="5" t="str">
        <x:v>Landing</x:v>
      </x:c>
      <x:c r="C8" s="5" t="str">
        <x:v>Landing navigation for authenticated users</x:v>
      </x:c>
      <x:c r="D8" s="6" t="str">
        <x:v>As a returning user, I want root access to take me to my workspace.</x:v>
      </x:c>
      <x:c r="E8" s="6" t="str">
        <x:v>The root redirect sends authenticated users to dashboard and unauthenticated users to the landing page.</x:v>
      </x:c>
      <x:c r="F8" s="6" t="str">
        <x:v>src/lib/router.tsx; src/pages/HomePage.tsx</x:v>
      </x:c>
      <x:c r="G8" s="5" t="str">
        <x:v>/</x:v>
      </x:c>
      <x:c r="H8" s="5" t="str">
        <x:v>Tested - pass</x:v>
      </x:c>
      <x:c r="I8" s="5" t="str">
        <x:v>High</x:v>
      </x:c>
      <x:c r="J8" s="5" t="str">
        <x:v>P1</x:v>
      </x:c>
      <x:c r="K8" s="5" t="str">
        <x:v>Automated pass</x:v>
      </x:c>
      <x:c r="L8" s="5" t="str"/>
      <x:c r="M8" s="5" t="str">
        <x:v>Not needed</x:v>
      </x:c>
      <x:c r="N8" s="6" t="str">
        <x:v>e2e/landing.spec.ts; e2e/auth.spec.ts</x:v>
      </x:c>
      <x:c r="O8" s="6" t="str">
        <x:v>Unauthenticated root/login/register navigation is covered; authenticated-root redirect still needs a credentialed smoke check.</x:v>
      </x:c>
    </x:row>
    <x:row r="9" ht="51" customHeight="1">
      <x:c r="A9" s="5" t="str">
        <x:v>AUTH-001</x:v>
      </x:c>
      <x:c r="B9" s="5" t="str">
        <x:v>Authentication</x:v>
      </x:c>
      <x:c r="C9" s="5" t="str">
        <x:v>Login identifier channel selection</x:v>
      </x:c>
      <x:c r="D9" s="6" t="str">
        <x:v>As a user, I want to sign in with either phone or email.</x:v>
      </x:c>
      <x:c r="E9" s="6" t="str">
        <x:v>Login supports phone and email tabs, restores the last successful method, validates identifier input, and branches through identifier status.</x:v>
      </x:c>
      <x:c r="F9" s="6" t="str">
        <x:v>src/pages/auth/LoginPage.tsx; src/api/auth.ts; src/lib/lastAuthMethod.ts</x:v>
      </x:c>
      <x:c r="G9" s="5" t="str">
        <x:v>/login</x:v>
      </x:c>
      <x:c r="H9" s="5" t="str">
        <x:v>Tested - pass</x:v>
      </x:c>
      <x:c r="I9" s="5" t="str">
        <x:v>High</x:v>
      </x:c>
      <x:c r="J9" s="5" t="str">
        <x:v>P0</x:v>
      </x:c>
      <x:c r="K9" s="5" t="str">
        <x:v>Automated pass</x:v>
      </x:c>
      <x:c r="L9" s="5" t="str"/>
      <x:c r="M9" s="5" t="str">
        <x:v>Not needed</x:v>
      </x:c>
      <x:c r="N9" s="6" t="str">
        <x:v>e2e/auth.spec.ts</x:v>
      </x:c>
      <x:c r="O9" s="6" t="str">
        <x:v>Playwright covers identifier-first login, phone/email switching, required fields, and invalid phone validation.</x:v>
      </x:c>
    </x:row>
    <x:row r="10" ht="51" customHeight="1">
      <x:c r="A10" s="5" t="str">
        <x:v>AUTH-002</x:v>
      </x:c>
      <x:c r="B10" s="5" t="str">
        <x:v>Authentication</x:v>
      </x:c>
      <x:c r="C10" s="5" t="str">
        <x:v>Login by existing password</x:v>
      </x:c>
      <x:c r="D10" s="6" t="str">
        <x:v>As a verified user with a password, I want to sign in after entering my password.</x:v>
      </x:c>
      <x:c r="E10" s="6" t="str">
        <x:v>Identifier status routes verified password-capable accounts to password entry; password visibility can be toggled; successful sign-in loads the user and redirects to the requested route or dashboard.</x:v>
      </x:c>
      <x:c r="F10" s="6" t="str">
        <x:v>src/pages/auth/LoginPage.tsx; src/stores/authStore.ts; src/lib/supabaseAuth.ts</x:v>
      </x:c>
      <x:c r="G10" s="5" t="str">
        <x:v>/login</x:v>
      </x:c>
      <x:c r="H10" s="5" t="str">
        <x:v>Code inferred</x:v>
      </x:c>
      <x:c r="I10" s="5" t="str">
        <x:v>High</x:v>
      </x:c>
      <x:c r="J10" s="5" t="str">
        <x:v>P0</x:v>
      </x:c>
      <x:c r="K10" s="5" t="str">
        <x:v>Pending</x:v>
      </x:c>
      <x:c r="L10" s="5" t="str"/>
      <x:c r="M10" s="5" t="str">
        <x:v>Not started</x:v>
      </x:c>
      <x:c r="N10" s="6" t="str"/>
      <x:c r="O10" s="6" t="str"/>
    </x:row>
    <x:row r="11" ht="51" customHeight="1">
      <x:c r="A11" s="5" t="str">
        <x:v>AUTH-003</x:v>
      </x:c>
      <x:c r="B11" s="5" t="str">
        <x:v>Authentication</x:v>
      </x:c>
      <x:c r="C11" s="5" t="str">
        <x:v>Login by OTP</x:v>
      </x:c>
      <x:c r="D11" s="6" t="str">
        <x:v>As a user without a password or with an OTP flow, I want to sign in using a verification code.</x:v>
      </x:c>
      <x:c r="E11" s="6" t="str">
        <x:v>The login flow requests OTP, focuses OTP entry, supports resend cooldown, uses WebOTP for phone where available, verifies the code, and records the auth method.</x:v>
      </x:c>
      <x:c r="F11" s="6" t="str">
        <x:v>src/pages/auth/LoginPage.tsx; src/hooks/useResendTimer.ts; src/hooks/useWebOtp.ts; src/stores/authStore.ts</x:v>
      </x:c>
      <x:c r="G11" s="5" t="str">
        <x:v>/login</x:v>
      </x:c>
      <x:c r="H11" s="5" t="str">
        <x:v>Code inferred</x:v>
      </x:c>
      <x:c r="I11" s="5" t="str">
        <x:v>High</x:v>
      </x:c>
      <x:c r="J11" s="5" t="str">
        <x:v>P0</x:v>
      </x:c>
      <x:c r="K11" s="5" t="str">
        <x:v>Pending</x:v>
      </x:c>
      <x:c r="L11" s="5" t="str"/>
      <x:c r="M11" s="5" t="str">
        <x:v>Not started</x:v>
      </x:c>
      <x:c r="N11" s="6" t="str"/>
      <x:c r="O11" s="6" t="str"/>
    </x:row>
    <x:row r="12" ht="51" customHeight="1">
      <x:c r="A12" s="5" t="str">
        <x:v>AUTH-004</x:v>
      </x:c>
      <x:c r="B12" s="5" t="str">
        <x:v>Authentication</x:v>
      </x:c>
      <x:c r="C12" s="5" t="str">
        <x:v>Mandatory password setup after OTP</x:v>
      </x:c>
      <x:c r="D12" s="6" t="str">
        <x:v>As a newly verified user, I want to set a password before entering the app.</x:v>
      </x:c>
      <x:c r="E12" s="6" t="str">
        <x:v>OTP-authenticated users who need setup must enter and confirm a valid password; mismatches and schema failures block completion.</x:v>
      </x:c>
      <x:c r="F12" s="6" t="str">
        <x:v>src/pages/auth/LoginPage.tsx; src/pages/auth/RegisterPage.tsx; src/stores/authStore.ts; src/utils/validation.ts</x:v>
      </x:c>
      <x:c r="G12" s="5" t="str">
        <x:v>/login; /register</x:v>
      </x:c>
      <x:c r="H12" s="5" t="str">
        <x:v>Code inferred</x:v>
      </x:c>
      <x:c r="I12" s="5" t="str">
        <x:v>High</x:v>
      </x:c>
      <x:c r="J12" s="5" t="str">
        <x:v>P0</x:v>
      </x:c>
      <x:c r="K12" s="5" t="str">
        <x:v>Pending</x:v>
      </x:c>
      <x:c r="L12" s="5" t="str"/>
      <x:c r="M12" s="5" t="str">
        <x:v>Not started</x:v>
      </x:c>
      <x:c r="N12" s="6" t="str"/>
      <x:c r="O12" s="6" t="str"/>
    </x:row>
    <x:row r="13" ht="51" customHeight="1">
      <x:c r="A13" s="5" t="str">
        <x:v>AUTH-005</x:v>
      </x:c>
      <x:c r="B13" s="5" t="str">
        <x:v>Authentication</x:v>
      </x:c>
      <x:c r="C13" s="5" t="str">
        <x:v>Registration with terms acceptance</x:v>
      </x:c>
      <x:c r="D13" s="6" t="str">
        <x:v>As a new user, I want to create an account after providing identity details and accepting terms.</x:v>
      </x:c>
      <x:c r="E13" s="6" t="str">
        <x:v>Registration requires full name, phone or email, and terms acceptance before OTP; Google sign-in is offered as an alternate path.</x:v>
      </x:c>
      <x:c r="F13" s="6" t="str">
        <x:v>src/pages/auth/RegisterPage.tsx; src/components/features/GoogleSignInButton.tsx</x:v>
      </x:c>
      <x:c r="G13" s="5" t="str">
        <x:v>/register</x:v>
      </x:c>
      <x:c r="H13" s="5" t="str">
        <x:v>Tested - pass</x:v>
      </x:c>
      <x:c r="I13" s="5" t="str">
        <x:v>High</x:v>
      </x:c>
      <x:c r="J13" s="5" t="str">
        <x:v>P0</x:v>
      </x:c>
      <x:c r="K13" s="5" t="str">
        <x:v>Automated pass</x:v>
      </x:c>
      <x:c r="L13" s="5" t="str"/>
      <x:c r="M13" s="5" t="str">
        <x:v>Not needed</x:v>
      </x:c>
      <x:c r="N13" s="6" t="str">
        <x:v>e2e/auth.spec.ts</x:v>
      </x:c>
      <x:c r="O13" s="6" t="str">
        <x:v>Playwright covers identifier-first registration, email mode, required terms, policy links, and login link.</x:v>
      </x:c>
    </x:row>
    <x:row r="14" ht="51" customHeight="1">
      <x:c r="A14" s="5" t="str">
        <x:v>AUTH-006</x:v>
      </x:c>
      <x:c r="B14" s="5" t="str">
        <x:v>Authentication</x:v>
      </x:c>
      <x:c r="C14" s="5" t="str">
        <x:v>Forgot password reset</x:v>
      </x:c>
      <x:c r="D14" s="6" t="str">
        <x:v>As a user who forgot my password, I want to verify by OTP and set a new password.</x:v>
      </x:c>
      <x:c r="E14" s="6" t="str">
        <x:v>Forgot password supports phone/email, prefilled route state, OTP request and resend, OTP verification, password validation, and a success screen linking back to login.</x:v>
      </x:c>
      <x:c r="F14" s="6" t="str">
        <x:v>src/pages/auth/ForgotPasswordPage.tsx; src/api/auth.ts; src/utils/validation.ts</x:v>
      </x:c>
      <x:c r="G14" s="5" t="str">
        <x:v>/forgot-password</x:v>
      </x:c>
      <x:c r="H14" s="5" t="str">
        <x:v>Code inferred</x:v>
      </x:c>
      <x:c r="I14" s="5" t="str">
        <x:v>High</x:v>
      </x:c>
      <x:c r="J14" s="5" t="str">
        <x:v>P0</x:v>
      </x:c>
      <x:c r="K14" s="5" t="str">
        <x:v>Pending</x:v>
      </x:c>
      <x:c r="L14" s="5" t="str"/>
      <x:c r="M14" s="5" t="str">
        <x:v>Not started</x:v>
      </x:c>
      <x:c r="N14" s="6" t="str"/>
      <x:c r="O14" s="6" t="str"/>
    </x:row>
    <x:row r="15" ht="51" customHeight="1">
      <x:c r="A15" s="5" t="str">
        <x:v>AUTH-007</x:v>
      </x:c>
      <x:c r="B15" s="5" t="str">
        <x:v>Authentication</x:v>
      </x:c>
      <x:c r="C15" s="5" t="str">
        <x:v>OAuth callback and staff gate</x:v>
      </x:c>
      <x:c r="D15" s="6" t="str">
        <x:v>As a Google-authenticated user, I want callback handling that only permits authorized staff roles.</x:v>
      </x:c>
      <x:c r="E15" s="6" t="str">
        <x:v>The callback exchanges the code, validates a safe next URL, loads the user, permits agent/admin roles, signs out disallowed roles, and surfaces not-staff errors.</x:v>
      </x:c>
      <x:c r="F15" s="6" t="str">
        <x:v>src/pages/auth/AuthCallbackPage.tsx; src/stores/authStore.ts</x:v>
      </x:c>
      <x:c r="G15" s="5" t="str">
        <x:v>/auth/callback</x:v>
      </x:c>
      <x:c r="H15" s="5" t="str">
        <x:v>Code inferred</x:v>
      </x:c>
      <x:c r="I15" s="5" t="str">
        <x:v>High</x:v>
      </x:c>
      <x:c r="J15" s="5" t="str">
        <x:v>P0</x:v>
      </x:c>
      <x:c r="K15" s="5" t="str">
        <x:v>Pending</x:v>
      </x:c>
      <x:c r="L15" s="5" t="str"/>
      <x:c r="M15" s="5" t="str">
        <x:v>Not started</x:v>
      </x:c>
      <x:c r="N15" s="6" t="str"/>
      <x:c r="O15" s="6" t="str"/>
    </x:row>
    <x:row r="16" ht="51" customHeight="1">
      <x:c r="A16" s="5" t="str">
        <x:v>AUTH-008</x:v>
      </x:c>
      <x:c r="B16" s="5" t="str">
        <x:v>Authentication</x:v>
      </x:c>
      <x:c r="C16" s="5" t="str">
        <x:v>Session expiry and retries</x:v>
      </x:c>
      <x:c r="D16" s="6" t="str">
        <x:v>As a signed-in user, I want expired sessions handled clearly without losing valid sessions during outages.</x:v>
      </x:c>
      <x:c r="E16" s="6" t="str">
        <x:v>The API client refreshes tokens once on 401, notifies auth expiry after refresh failure, retries 429 and server/network errors, and auth store preserves session on transient failures.</x:v>
      </x:c>
      <x:c r="F16" s="6" t="str">
        <x:v>src/api/client.ts; src/stores/authStore.ts</x:v>
      </x:c>
      <x:c r="G16" s="5" t="str">
        <x:v>All API calls</x:v>
      </x:c>
      <x:c r="H16" s="5" t="str">
        <x:v>Tested - pass</x:v>
      </x:c>
      <x:c r="I16" s="5" t="str">
        <x:v>High</x:v>
      </x:c>
      <x:c r="J16" s="5" t="str">
        <x:v>P0</x:v>
      </x:c>
      <x:c r="K16" s="5" t="str">
        <x:v>Automated pass</x:v>
      </x:c>
      <x:c r="L16" s="5" t="str"/>
      <x:c r="M16" s="5" t="str">
        <x:v>Not needed</x:v>
      </x:c>
      <x:c r="N16" s="6" t="str">
        <x:v>src/test/api/client.test.ts; src/test/stores/authStore.test.ts</x:v>
      </x:c>
      <x:c r="O16" s="6" t="str">
        <x:v>API retry/session expiry and auth-store transient failure behavior are covered by the existing automated suite.</x:v>
      </x:c>
    </x:row>
    <x:row r="17" ht="51" customHeight="1">
      <x:c r="A17" s="5" t="str">
        <x:v>DASH-001</x:v>
      </x:c>
      <x:c r="B17" s="5" t="str">
        <x:v>Dashboard</x:v>
      </x:c>
      <x:c r="C17" s="5" t="str">
        <x:v>Dashboard overview metrics</x:v>
      </x:c>
      <x:c r="D17" s="6" t="str">
        <x:v>As an operator, I want a quick view of business health.</x:v>
      </x:c>
      <x:c r="E17" s="6" t="str">
        <x:v>Dashboard loads stats cards, recent tours, realtime daily views, and storage progress with loading, error, and retry states.</x:v>
      </x:c>
      <x:c r="F17" s="6" t="str">
        <x:v>src/pages/dashboard/DashboardPage.tsx; src/api/tours.ts</x:v>
      </x:c>
      <x:c r="G17" s="5" t="str">
        <x:v>/dashboard</x:v>
      </x:c>
      <x:c r="H17" s="5" t="str">
        <x:v>Code inferred</x:v>
      </x:c>
      <x:c r="I17" s="5" t="str">
        <x:v>High</x:v>
      </x:c>
      <x:c r="J17" s="5" t="str">
        <x:v>P1</x:v>
      </x:c>
      <x:c r="K17" s="5" t="str">
        <x:v>Pending</x:v>
      </x:c>
      <x:c r="L17" s="5" t="str"/>
      <x:c r="M17" s="5" t="str">
        <x:v>Not started</x:v>
      </x:c>
      <x:c r="N17" s="6" t="str"/>
      <x:c r="O17" s="6" t="str"/>
    </x:row>
    <x:row r="18" ht="51" customHeight="1">
      <x:c r="A18" s="5" t="str">
        <x:v>DASH-002</x:v>
      </x:c>
      <x:c r="B18" s="5" t="str">
        <x:v>Dashboard</x:v>
      </x:c>
      <x:c r="C18" s="5" t="str">
        <x:v>Recent tours launch points</x:v>
      </x:c>
      <x:c r="D18" s="6" t="str">
        <x:v>As an operator, I want to reopen or inspect recent work quickly.</x:v>
      </x:c>
      <x:c r="E18" s="6" t="str">
        <x:v>Recent tours list exposes tour details and actions; empty states guide users toward creating tours.</x:v>
      </x:c>
      <x:c r="F18" s="6" t="str">
        <x:v>src/pages/dashboard/DashboardPage.tsx</x:v>
      </x:c>
      <x:c r="G18" s="5" t="str">
        <x:v>/dashboard</x:v>
      </x:c>
      <x:c r="H18" s="5" t="str">
        <x:v>Code inferred</x:v>
      </x:c>
      <x:c r="I18" s="5" t="str">
        <x:v>Medium</x:v>
      </x:c>
      <x:c r="J18" s="5" t="str">
        <x:v>P2</x:v>
      </x:c>
      <x:c r="K18" s="5" t="str">
        <x:v>Pending</x:v>
      </x:c>
      <x:c r="L18" s="5" t="str"/>
      <x:c r="M18" s="5" t="str">
        <x:v>Not started</x:v>
      </x:c>
      <x:c r="N18" s="6" t="str"/>
      <x:c r="O18" s="6" t="str"/>
    </x:row>
    <x:row r="19" ht="51" customHeight="1">
      <x:c r="A19" s="5" t="str">
        <x:v>TOURS-001</x:v>
      </x:c>
      <x:c r="B19" s="5" t="str">
        <x:v>Tours</x:v>
      </x:c>
      <x:c r="C19" s="5" t="str">
        <x:v>Tour list search, filters, pagination</x:v>
      </x:c>
      <x:c r="D19" s="6" t="str">
        <x:v>As a tour manager, I want to find tours by search, status, and page through results.</x:v>
      </x:c>
      <x:c r="E19" s="6" t="str">
        <x:v>Tours page debounces search, filters by status, supports cursor-based next/previous paging, and resets pagination when filters change.</x:v>
      </x:c>
      <x:c r="F19" s="6" t="str">
        <x:v>src/pages/tours/ToursPage.tsx; src/api/tours.ts</x:v>
      </x:c>
      <x:c r="G19" s="5" t="str">
        <x:v>/tours</x:v>
      </x:c>
      <x:c r="H19" s="5" t="str">
        <x:v>Code inferred</x:v>
      </x:c>
      <x:c r="I19" s="5" t="str">
        <x:v>High</x:v>
      </x:c>
      <x:c r="J19" s="5" t="str">
        <x:v>P0</x:v>
      </x:c>
      <x:c r="K19" s="5" t="str">
        <x:v>Pending</x:v>
      </x:c>
      <x:c r="L19" s="5" t="str"/>
      <x:c r="M19" s="5" t="str">
        <x:v>Not started</x:v>
      </x:c>
      <x:c r="N19" s="6" t="str"/>
      <x:c r="O19" s="6" t="str"/>
    </x:row>
    <x:row r="20" ht="51" customHeight="1">
      <x:c r="A20" s="5" t="str">
        <x:v>TOURS-002</x:v>
      </x:c>
      <x:c r="B20" s="5" t="str">
        <x:v>Tours</x:v>
      </x:c>
      <x:c r="C20" s="5" t="str">
        <x:v>Grid and list tour browsing</x:v>
      </x:c>
      <x:c r="D20" s="6" t="str">
        <x:v>As a tour manager, I want compact and visual list modes.</x:v>
      </x:c>
      <x:c r="E20" s="6" t="str">
        <x:v>Tours can be shown as cards or rows, with loading skeletons, empty states, and status badges.</x:v>
      </x:c>
      <x:c r="F20" s="6" t="str">
        <x:v>src/pages/tours/ToursPage.tsx</x:v>
      </x:c>
      <x:c r="G20" s="5" t="str">
        <x:v>/tours</x:v>
      </x:c>
      <x:c r="H20" s="5" t="str">
        <x:v>Code inferred</x:v>
      </x:c>
      <x:c r="I20" s="5" t="str">
        <x:v>High</x:v>
      </x:c>
      <x:c r="J20" s="5" t="str">
        <x:v>P1</x:v>
      </x:c>
      <x:c r="K20" s="5" t="str">
        <x:v>Pending</x:v>
      </x:c>
      <x:c r="L20" s="5" t="str"/>
      <x:c r="M20" s="5" t="str">
        <x:v>Not started</x:v>
      </x:c>
      <x:c r="N20" s="6" t="str"/>
      <x:c r="O20" s="6" t="str"/>
    </x:row>
    <x:row r="21" ht="51" customHeight="1">
      <x:c r="A21" s="5" t="str">
        <x:v>TOURS-003</x:v>
      </x:c>
      <x:c r="B21" s="5" t="str">
        <x:v>Tours</x:v>
      </x:c>
      <x:c r="C21" s="5" t="str">
        <x:v>Tour lifecycle actions</x:v>
      </x:c>
      <x:c r="D21" s="6" t="str">
        <x:v>As a tour manager, I want to duplicate, archive, unarchive, and delete tours safely.</x:v>
      </x:c>
      <x:c r="E21" s="6" t="str">
        <x:v>Action menus call duplicate/archive/unarchive/delete APIs, invalidate tour queries, and use confirmations for destructive operations.</x:v>
      </x:c>
      <x:c r="F21" s="6" t="str">
        <x:v>src/pages/tours/ToursPage.tsx; src/api/tours.ts</x:v>
      </x:c>
      <x:c r="G21" s="5" t="str">
        <x:v>/tours</x:v>
      </x:c>
      <x:c r="H21" s="5" t="str">
        <x:v>Code inferred</x:v>
      </x:c>
      <x:c r="I21" s="5" t="str">
        <x:v>High</x:v>
      </x:c>
      <x:c r="J21" s="5" t="str">
        <x:v>P0</x:v>
      </x:c>
      <x:c r="K21" s="5" t="str">
        <x:v>Pending</x:v>
      </x:c>
      <x:c r="L21" s="5" t="str"/>
      <x:c r="M21" s="5" t="str">
        <x:v>Not started</x:v>
      </x:c>
      <x:c r="N21" s="6" t="str"/>
      <x:c r="O21" s="6" t="str"/>
    </x:row>
    <x:row r="22" ht="51" customHeight="1">
      <x:c r="A22" s="5" t="str">
        <x:v>TOURS-004</x:v>
      </x:c>
      <x:c r="B22" s="5" t="str">
        <x:v>Tours</x:v>
      </x:c>
      <x:c r="C22" s="5" t="str">
        <x:v>Published tour access</x:v>
      </x:c>
      <x:c r="D22" s="6" t="str">
        <x:v>As a tour manager, I want a live link when a tour is published.</x:v>
      </x:c>
      <x:c r="E22" s="6" t="str">
        <x:v>Published tours expose a public view link; draft tours do not offer the live view action.</x:v>
      </x:c>
      <x:c r="F22" s="6" t="str">
        <x:v>src/pages/tours/ToursPage.tsx; src/pages/tours/TourViewPage.tsx</x:v>
      </x:c>
      <x:c r="G22" s="5" t="str">
        <x:v>/tours; /tours/:id</x:v>
      </x:c>
      <x:c r="H22" s="5" t="str">
        <x:v>Code inferred</x:v>
      </x:c>
      <x:c r="I22" s="5" t="str">
        <x:v>High</x:v>
      </x:c>
      <x:c r="J22" s="5" t="str">
        <x:v>P1</x:v>
      </x:c>
      <x:c r="K22" s="5" t="str">
        <x:v>Pending</x:v>
      </x:c>
      <x:c r="L22" s="5" t="str"/>
      <x:c r="M22" s="5" t="str">
        <x:v>Not started</x:v>
      </x:c>
      <x:c r="N22" s="6" t="str"/>
      <x:c r="O22" s="6" t="str"/>
    </x:row>
    <x:row r="23" ht="51" customHeight="1">
      <x:c r="A23" s="5" t="str">
        <x:v>TOURS-005</x:v>
      </x:c>
      <x:c r="B23" s="5" t="str">
        <x:v>Tours</x:v>
      </x:c>
      <x:c r="C23" s="5" t="str">
        <x:v>Protected tour detail preview</x:v>
      </x:c>
      <x:c r="D23" s="6" t="str">
        <x:v>As a tour manager, I want to preview a tour and inspect its settings before sharing.</x:v>
      </x:c>
      <x:c r="E23" s="6" t="str">
        <x:v>Tour detail loads tour/scenes, shows a panorama preview, scene grid, metrics, settings, edit/share/analytics actions, and disables sharing while draft.</x:v>
      </x:c>
      <x:c r="F23" s="6" t="str">
        <x:v>src/pages/tours/TourViewPage.tsx; src/components/features/PanoramaViewer.tsx</x:v>
      </x:c>
      <x:c r="G23" s="5" t="str">
        <x:v>/tours/:id</x:v>
      </x:c>
      <x:c r="H23" s="5" t="str">
        <x:v>Code inferred</x:v>
      </x:c>
      <x:c r="I23" s="5" t="str">
        <x:v>High</x:v>
      </x:c>
      <x:c r="J23" s="5" t="str">
        <x:v>P1</x:v>
      </x:c>
      <x:c r="K23" s="5" t="str">
        <x:v>Pending</x:v>
      </x:c>
      <x:c r="L23" s="5" t="str"/>
      <x:c r="M23" s="5" t="str">
        <x:v>Not started</x:v>
      </x:c>
      <x:c r="N23" s="6" t="str"/>
      <x:c r="O23" s="6" t="str"/>
    </x:row>
    <x:row r="24" ht="51" customHeight="1">
      <x:c r="A24" s="5" t="str">
        <x:v>CREATE-001</x:v>
      </x:c>
      <x:c r="B24" s="5" t="str">
        <x:v>Tour Creation</x:v>
      </x:c>
      <x:c r="C24" s="5" t="str">
        <x:v>Create tour details</x:v>
      </x:c>
      <x:c r="D24" s="6" t="str">
        <x:v>As a creator, I want to start a tour with title and optional description.</x:v>
      </x:c>
      <x:c r="E24" s="6" t="str">
        <x:v>Create page validates required title, creates a draft tour, and supports returning to edit the info before uploading.</x:v>
      </x:c>
      <x:c r="F24" s="6" t="str">
        <x:v>src/pages/tours/TourCreatePage.tsx; src/api/tours.ts</x:v>
      </x:c>
      <x:c r="G24" s="5" t="str">
        <x:v>/tours/create</x:v>
      </x:c>
      <x:c r="H24" s="5" t="str">
        <x:v>Code inferred</x:v>
      </x:c>
      <x:c r="I24" s="5" t="str">
        <x:v>High</x:v>
      </x:c>
      <x:c r="J24" s="5" t="str">
        <x:v>P0</x:v>
      </x:c>
      <x:c r="K24" s="5" t="str">
        <x:v>Pending</x:v>
      </x:c>
      <x:c r="L24" s="5" t="str"/>
      <x:c r="M24" s="5" t="str">
        <x:v>Not started</x:v>
      </x:c>
      <x:c r="N24" s="6" t="str"/>
      <x:c r="O24" s="6" t="str"/>
    </x:row>
    <x:row r="25" ht="51" customHeight="1">
      <x:c r="A25" s="5" t="str">
        <x:v>CREATE-002</x:v>
      </x:c>
      <x:c r="B25" s="5" t="str">
        <x:v>Tour Creation</x:v>
      </x:c>
      <x:c r="C25" s="5" t="str">
        <x:v>Upload panorama images</x:v>
      </x:c>
      <x:c r="D25" s="6" t="str">
        <x:v>As a creator, I want to add 360 images and see upload progress.</x:v>
      </x:c>
      <x:c r="E25" s="6" t="str">
        <x:v>Selected or dropped images are validated, displayed with removal controls, uploaded with per-file and total progress, and converted into scenes.</x:v>
      </x:c>
      <x:c r="F25" s="6" t="str">
        <x:v>src/pages/tours/TourCreatePage.tsx; src/api/upload.ts; src/utils/validation.ts</x:v>
      </x:c>
      <x:c r="G25" s="5" t="str">
        <x:v>/tours/create</x:v>
      </x:c>
      <x:c r="H25" s="5" t="str">
        <x:v>Code inferred</x:v>
      </x:c>
      <x:c r="I25" s="5" t="str">
        <x:v>High</x:v>
      </x:c>
      <x:c r="J25" s="5" t="str">
        <x:v>P0</x:v>
      </x:c>
      <x:c r="K25" s="5" t="str">
        <x:v>Pending</x:v>
      </x:c>
      <x:c r="L25" s="5" t="str"/>
      <x:c r="M25" s="5" t="str">
        <x:v>Not started</x:v>
      </x:c>
      <x:c r="N25" s="6" t="str"/>
      <x:c r="O25" s="6" t="str"/>
    </x:row>
    <x:row r="26" ht="51" customHeight="1">
      <x:c r="A26" s="5" t="str">
        <x:v>CREATE-003</x:v>
      </x:c>
      <x:c r="B26" s="5" t="str">
        <x:v>Tour Creation</x:v>
      </x:c>
      <x:c r="C26" s="5" t="str">
        <x:v>AI tour generation wizard</x:v>
      </x:c>
      <x:c r="D26" s="6" t="str">
        <x:v>As a creator, I want AI to generate a tour from panoramas.</x:v>
      </x:c>
      <x:c r="E26" s="6" t="str">
        <x:v>Wizard accepts up to 50 images under 50 MB each, combines rejection errors, collects optional details and AI options, uploads files, tracks the job, reviews generated scenes, and completes into the editor.</x:v>
      </x:c>
      <x:c r="F26" s="6" t="str">
        <x:v>src/components/features/ai/AITourWizard.tsx; src/api/ai.ts</x:v>
      </x:c>
      <x:c r="G26" s="5" t="str">
        <x:v>/tours/create</x:v>
      </x:c>
      <x:c r="H26" s="5" t="str">
        <x:v>Code inferred</x:v>
      </x:c>
      <x:c r="I26" s="5" t="str">
        <x:v>High</x:v>
      </x:c>
      <x:c r="J26" s="5" t="str">
        <x:v>P1</x:v>
      </x:c>
      <x:c r="K26" s="5" t="str">
        <x:v>Pending</x:v>
      </x:c>
      <x:c r="L26" s="5" t="str"/>
      <x:c r="M26" s="5" t="str">
        <x:v>Not started</x:v>
      </x:c>
      <x:c r="N26" s="6" t="str"/>
      <x:c r="O26" s="6" t="str"/>
    </x:row>
    <x:row r="27" ht="51" customHeight="1">
      <x:c r="A27" s="5" t="str">
        <x:v>CREATE-004</x:v>
      </x:c>
      <x:c r="B27" s="5" t="str">
        <x:v>Tour Creation</x:v>
      </x:c>
      <x:c r="C27" s="5" t="str">
        <x:v>Skip upload and edit later</x:v>
      </x:c>
      <x:c r="D27" s="6" t="str">
        <x:v>As a creator, I want to create a draft before assets are ready.</x:v>
      </x:c>
      <x:c r="E27" s="6" t="str">
        <x:v>After creating tour details, users can skip uploads and continue to the editor with an empty tour.</x:v>
      </x:c>
      <x:c r="F27" s="6" t="str">
        <x:v>src/pages/tours/TourCreatePage.tsx</x:v>
      </x:c>
      <x:c r="G27" s="5" t="str">
        <x:v>/tours/create</x:v>
      </x:c>
      <x:c r="H27" s="5" t="str">
        <x:v>Code inferred</x:v>
      </x:c>
      <x:c r="I27" s="5" t="str">
        <x:v>Medium</x:v>
      </x:c>
      <x:c r="J27" s="5" t="str">
        <x:v>P2</x:v>
      </x:c>
      <x:c r="K27" s="5" t="str">
        <x:v>Pending</x:v>
      </x:c>
      <x:c r="L27" s="5" t="str"/>
      <x:c r="M27" s="5" t="str">
        <x:v>Not started</x:v>
      </x:c>
      <x:c r="N27" s="6" t="str"/>
      <x:c r="O27" s="6" t="str"/>
    </x:row>
    <x:row r="28" ht="51" customHeight="1">
      <x:c r="A28" s="5" t="str">
        <x:v>EDIT-001</x:v>
      </x:c>
      <x:c r="B28" s="5" t="str">
        <x:v>Tour Editor</x:v>
      </x:c>
      <x:c r="C28" s="5" t="str">
        <x:v>Editor load and scene selection</x:v>
      </x:c>
      <x:c r="D28" s="6" t="str">
        <x:v>As an editor, I want the current tour, scenes, and selected scene to load reliably.</x:v>
      </x:c>
      <x:c r="E28" s="6" t="str">
        <x:v>Editor fetches tour/scenes, initializes store state, recovers stale selections, and renders empty prompts when there are no scenes.</x:v>
      </x:c>
      <x:c r="F28" s="6" t="str">
        <x:v>src/pages/tours/TourEditPage.tsx; src/stores/tourEditorStore.ts</x:v>
      </x:c>
      <x:c r="G28" s="5" t="str">
        <x:v>/tours/:id/edit</x:v>
      </x:c>
      <x:c r="H28" s="5" t="str">
        <x:v>Code inferred</x:v>
      </x:c>
      <x:c r="I28" s="5" t="str">
        <x:v>High</x:v>
      </x:c>
      <x:c r="J28" s="5" t="str">
        <x:v>P0</x:v>
      </x:c>
      <x:c r="K28" s="5" t="str">
        <x:v>Pending</x:v>
      </x:c>
      <x:c r="L28" s="5" t="str"/>
      <x:c r="M28" s="5" t="str">
        <x:v>Not started</x:v>
      </x:c>
      <x:c r="N28" s="6" t="str"/>
      <x:c r="O28" s="6" t="str"/>
    </x:row>
    <x:row r="29" ht="51" customHeight="1">
      <x:c r="A29" s="5" t="str">
        <x:v>EDIT-002</x:v>
      </x:c>
      <x:c r="B29" s="5" t="str">
        <x:v>Tour Editor</x:v>
      </x:c>
      <x:c r="C29" s="5" t="str">
        <x:v>Unsaved change protection</x:v>
      </x:c>
      <x:c r="D29" s="6" t="str">
        <x:v>As an editor, I want warnings before losing unsaved edits.</x:v>
      </x:c>
      <x:c r="E29" s="6" t="str">
        <x:v>Pending settings or draft changes trigger route blocking, beforeunload protection, and an unsaved changes dialog.</x:v>
      </x:c>
      <x:c r="F29" s="6" t="str">
        <x:v>src/pages/tours/TourEditPage.tsx; src/stores/tourEditorStore.ts</x:v>
      </x:c>
      <x:c r="G29" s="5" t="str">
        <x:v>/tours/:id/edit</x:v>
      </x:c>
      <x:c r="H29" s="5" t="str">
        <x:v>Code inferred</x:v>
      </x:c>
      <x:c r="I29" s="5" t="str">
        <x:v>High</x:v>
      </x:c>
      <x:c r="J29" s="5" t="str">
        <x:v>P0</x:v>
      </x:c>
      <x:c r="K29" s="5" t="str">
        <x:v>Pending</x:v>
      </x:c>
      <x:c r="L29" s="5" t="str"/>
      <x:c r="M29" s="5" t="str">
        <x:v>Not started</x:v>
      </x:c>
      <x:c r="N29" s="6" t="str"/>
      <x:c r="O29" s="6" t="str"/>
    </x:row>
    <x:row r="30" ht="51" customHeight="1">
      <x:c r="A30" s="5" t="str">
        <x:v>EDIT-003</x:v>
      </x:c>
      <x:c r="B30" s="5" t="str">
        <x:v>Tour Editor</x:v>
      </x:c>
      <x:c r="C30" s="5" t="str">
        <x:v>Save, undo, redo keyboard flow</x:v>
      </x:c>
      <x:c r="D30" s="6" t="str">
        <x:v>As an editor, I want to save and undo quickly from the keyboard.</x:v>
      </x:c>
      <x:c r="E30" s="6" t="str">
        <x:v>Ctrl/Cmd+S saves tour/settings changes; undo/redo maintain bounded history and clear history after save or discard.</x:v>
      </x:c>
      <x:c r="F30" s="6" t="str">
        <x:v>src/pages/tours/TourEditPage.tsx; src/stores/tourEditorStore.ts</x:v>
      </x:c>
      <x:c r="G30" s="5" t="str">
        <x:v>/tours/:id/edit</x:v>
      </x:c>
      <x:c r="H30" s="5" t="str">
        <x:v>Code inferred</x:v>
      </x:c>
      <x:c r="I30" s="5" t="str">
        <x:v>High</x:v>
      </x:c>
      <x:c r="J30" s="5" t="str">
        <x:v>P0</x:v>
      </x:c>
      <x:c r="K30" s="5" t="str">
        <x:v>Pending</x:v>
      </x:c>
      <x:c r="L30" s="5" t="str"/>
      <x:c r="M30" s="5" t="str">
        <x:v>Not started</x:v>
      </x:c>
      <x:c r="N30" s="6" t="str"/>
      <x:c r="O30" s="6" t="str"/>
    </x:row>
    <x:row r="31" ht="51" customHeight="1">
      <x:c r="A31" s="5" t="str">
        <x:v>EDIT-004</x:v>
      </x:c>
      <x:c r="B31" s="5" t="str">
        <x:v>Tour Editor</x:v>
      </x:c>
      <x:c r="C31" s="5" t="str">
        <x:v>Publish and unpublish</x:v>
      </x:c>
      <x:c r="D31" s="6" t="str">
        <x:v>As an editor, I want to control public availability.</x:v>
      </x:c>
      <x:c r="E31" s="6" t="str">
        <x:v>Publish and unpublish actions update tour status, invalidate queries, and adjust available sharing/open actions.</x:v>
      </x:c>
      <x:c r="F31" s="6" t="str">
        <x:v>src/pages/tours/TourEditPage.tsx; src/api/tours.ts</x:v>
      </x:c>
      <x:c r="G31" s="5" t="str">
        <x:v>/tours/:id/edit</x:v>
      </x:c>
      <x:c r="H31" s="5" t="str">
        <x:v>Code inferred</x:v>
      </x:c>
      <x:c r="I31" s="5" t="str">
        <x:v>High</x:v>
      </x:c>
      <x:c r="J31" s="5" t="str">
        <x:v>P0</x:v>
      </x:c>
      <x:c r="K31" s="5" t="str">
        <x:v>Pending</x:v>
      </x:c>
      <x:c r="L31" s="5" t="str"/>
      <x:c r="M31" s="5" t="str">
        <x:v>Not started</x:v>
      </x:c>
      <x:c r="N31" s="6" t="str"/>
      <x:c r="O31" s="6" t="str"/>
    </x:row>
    <x:row r="32" ht="51" customHeight="1">
      <x:c r="A32" s="5" t="str">
        <x:v>EDIT-005</x:v>
      </x:c>
      <x:c r="B32" s="5" t="str">
        <x:v>Tour Editor</x:v>
      </x:c>
      <x:c r="C32" s="5" t="str">
        <x:v>Preview, duplicate, delete</x:v>
      </x:c>
      <x:c r="D32" s="6" t="str">
        <x:v>As an editor, I want safe tour-level actions from the editor.</x:v>
      </x:c>
      <x:c r="E32" s="6" t="str">
        <x:v>Editor can open public preview, duplicate a tour and navigate to the new editor, or delete with confirmation.</x:v>
      </x:c>
      <x:c r="F32" s="6" t="str">
        <x:v>src/pages/tours/TourEditPage.tsx</x:v>
      </x:c>
      <x:c r="G32" s="5" t="str">
        <x:v>/tours/:id/edit</x:v>
      </x:c>
      <x:c r="H32" s="5" t="str">
        <x:v>Code inferred</x:v>
      </x:c>
      <x:c r="I32" s="5" t="str">
        <x:v>High</x:v>
      </x:c>
      <x:c r="J32" s="5" t="str">
        <x:v>P1</x:v>
      </x:c>
      <x:c r="K32" s="5" t="str">
        <x:v>Pending</x:v>
      </x:c>
      <x:c r="L32" s="5" t="str"/>
      <x:c r="M32" s="5" t="str">
        <x:v>Not started</x:v>
      </x:c>
      <x:c r="N32" s="6" t="str"/>
      <x:c r="O32" s="6" t="str"/>
    </x:row>
    <x:row r="33" ht="51" customHeight="1">
      <x:c r="A33" s="5" t="str">
        <x:v>EDIT-006</x:v>
      </x:c>
      <x:c r="B33" s="5" t="str">
        <x:v>Tour Editor</x:v>
      </x:c>
      <x:c r="C33" s="5" t="str">
        <x:v>Scene panel upload and create</x:v>
      </x:c>
      <x:c r="D33" s="6" t="str">
        <x:v>As an editor, I want to upload more panoramas directly from the scene panel.</x:v>
      </x:c>
      <x:c r="E33" s="6" t="str">
        <x:v>Scene panel accepts images, validates files, uploads them, creates scenes, selects new scenes, and displays upload state.</x:v>
      </x:c>
      <x:c r="F33" s="6" t="str">
        <x:v>src/components/features/ScenePanel.tsx; src/api/upload.ts; src/api/tours.ts</x:v>
      </x:c>
      <x:c r="G33" s="5" t="str">
        <x:v>/tours/:id/edit</x:v>
      </x:c>
      <x:c r="H33" s="5" t="str">
        <x:v>Code inferred</x:v>
      </x:c>
      <x:c r="I33" s="5" t="str">
        <x:v>High</x:v>
      </x:c>
      <x:c r="J33" s="5" t="str">
        <x:v>P0</x:v>
      </x:c>
      <x:c r="K33" s="5" t="str">
        <x:v>Pending</x:v>
      </x:c>
      <x:c r="L33" s="5" t="str"/>
      <x:c r="M33" s="5" t="str">
        <x:v>Not started</x:v>
      </x:c>
      <x:c r="N33" s="6" t="str"/>
      <x:c r="O33" s="6" t="str"/>
    </x:row>
    <x:row r="34" ht="51" customHeight="1">
      <x:c r="A34" s="5" t="str">
        <x:v>EDIT-007</x:v>
      </x:c>
      <x:c r="B34" s="5" t="str">
        <x:v>Tour Editor</x:v>
      </x:c>
      <x:c r="C34" s="5" t="str">
        <x:v>Scene reorder</x:v>
      </x:c>
      <x:c r="D34" s="6" t="str">
        <x:v>As an editor, I want to reorder scenes by drag and drop.</x:v>
      </x:c>
      <x:c r="E34" s="6" t="str">
        <x:v>Scene panel uses sortable drag and drop, persists scene order, and keeps current selection intact.</x:v>
      </x:c>
      <x:c r="F34" s="6" t="str">
        <x:v>src/components/features/ScenePanel.tsx; src/api/tours.ts</x:v>
      </x:c>
      <x:c r="G34" s="5" t="str">
        <x:v>/tours/:id/edit</x:v>
      </x:c>
      <x:c r="H34" s="5" t="str">
        <x:v>Code inferred</x:v>
      </x:c>
      <x:c r="I34" s="5" t="str">
        <x:v>High</x:v>
      </x:c>
      <x:c r="J34" s="5" t="str">
        <x:v>P1</x:v>
      </x:c>
      <x:c r="K34" s="5" t="str">
        <x:v>Pending</x:v>
      </x:c>
      <x:c r="L34" s="5" t="str"/>
      <x:c r="M34" s="5" t="str">
        <x:v>Not started</x:v>
      </x:c>
      <x:c r="N34" s="6" t="str"/>
      <x:c r="O34" s="6" t="str"/>
    </x:row>
    <x:row r="35" ht="51" customHeight="1">
      <x:c r="A35" s="5" t="str">
        <x:v>EDIT-008</x:v>
      </x:c>
      <x:c r="B35" s="5" t="str">
        <x:v>Tour Editor</x:v>
      </x:c>
      <x:c r="C35" s="5" t="str">
        <x:v>Scene delete</x:v>
      </x:c>
      <x:c r="D35" s="6" t="str">
        <x:v>As an editor, I want to delete unwanted scenes safely.</x:v>
      </x:c>
      <x:c r="E35" s="6" t="str">
        <x:v>Scene delete requires confirmation, calls the scenes API, updates current selection when needed, and invalidates tour data.</x:v>
      </x:c>
      <x:c r="F35" s="6" t="str">
        <x:v>src/components/features/ScenePanel.tsx</x:v>
      </x:c>
      <x:c r="G35" s="5" t="str">
        <x:v>/tours/:id/edit</x:v>
      </x:c>
      <x:c r="H35" s="5" t="str">
        <x:v>Code inferred</x:v>
      </x:c>
      <x:c r="I35" s="5" t="str">
        <x:v>High</x:v>
      </x:c>
      <x:c r="J35" s="5" t="str">
        <x:v>P1</x:v>
      </x:c>
      <x:c r="K35" s="5" t="str">
        <x:v>Pending</x:v>
      </x:c>
      <x:c r="L35" s="5" t="str"/>
      <x:c r="M35" s="5" t="str">
        <x:v>Not started</x:v>
      </x:c>
      <x:c r="N35" s="6" t="str"/>
      <x:c r="O35" s="6" t="str"/>
    </x:row>
    <x:row r="36" ht="51" customHeight="1">
      <x:c r="A36" s="5" t="str">
        <x:v>EDIT-009</x:v>
      </x:c>
      <x:c r="B36" s="5" t="str">
        <x:v>Tour Editor</x:v>
      </x:c>
      <x:c r="C36" s="5" t="str">
        <x:v>Panorama render and controls</x:v>
      </x:c>
      <x:c r="D36" s="6" t="str">
        <x:v>As an editor/viewer, I want panoramas to load with interactive controls and graceful errors.</x:v>
      </x:c>
      <x:c r="E36" s="6" t="str">
        <x:v>PanoramaViewer initializes Photo Sphere Viewer, handles ready/error/retry states, applies initial view/FOV, marker rendering, keyboard marker activation, auto-rotate, fullscreen, gyroscope, and VR/stereo fallbacks.</x:v>
      </x:c>
      <x:c r="F36" s="6" t="str">
        <x:v>src/components/features/PanoramaViewer.tsx</x:v>
      </x:c>
      <x:c r="G36" s="5" t="str">
        <x:v>Editor, public, embed, local</x:v>
      </x:c>
      <x:c r="H36" s="5" t="str">
        <x:v>Tested - pass</x:v>
      </x:c>
      <x:c r="I36" s="5" t="str">
        <x:v>High</x:v>
      </x:c>
      <x:c r="J36" s="5" t="str">
        <x:v>P0</x:v>
      </x:c>
      <x:c r="K36" s="5" t="str">
        <x:v>Automated pass</x:v>
      </x:c>
      <x:c r="L36" s="5" t="str"/>
      <x:c r="M36" s="5" t="str">
        <x:v>Not needed</x:v>
      </x:c>
      <x:c r="N36" s="6" t="str">
        <x:v>src/test/components/PanoramaViewer.test.tsx</x:v>
      </x:c>
      <x:c r="O36" s="6" t="str">
        <x:v>Viewer tests verify stable instance lifecycle and panorama updates when scene props change.</x:v>
      </x:c>
    </x:row>
    <x:row r="37" ht="51" customHeight="1">
      <x:c r="A37" s="5" t="str">
        <x:v>EDIT-010</x:v>
      </x:c>
      <x:c r="B37" s="5" t="str">
        <x:v>Tour Editor</x:v>
      </x:c>
      <x:c r="C37" s="5" t="str">
        <x:v>Hotspot placement mode</x:v>
      </x:c>
      <x:c r="D37" s="6" t="str">
        <x:v>As an editor, I want to click the panorama to place hotspots accurately.</x:v>
      </x:c>
      <x:c r="E37" s="6" t="str">
        <x:v>Pressing H or using the UI enters placement mode, shows overlay instructions, captures yaw/pitch on click, opens the hotspot editor, and exits with Esc or cancel.</x:v>
      </x:c>
      <x:c r="F37" s="6" t="str">
        <x:v>src/pages/tours/TourEditPage.tsx; src/components/features/PanoramaViewer.tsx; src/components/features/HotspotEditorModal.tsx</x:v>
      </x:c>
      <x:c r="G37" s="5" t="str">
        <x:v>/tours/:id/edit</x:v>
      </x:c>
      <x:c r="H37" s="5" t="str">
        <x:v>Code inferred</x:v>
      </x:c>
      <x:c r="I37" s="5" t="str">
        <x:v>High</x:v>
      </x:c>
      <x:c r="J37" s="5" t="str">
        <x:v>P0</x:v>
      </x:c>
      <x:c r="K37" s="5" t="str">
        <x:v>Pending</x:v>
      </x:c>
      <x:c r="L37" s="5" t="str"/>
      <x:c r="M37" s="5" t="str">
        <x:v>Not started</x:v>
      </x:c>
      <x:c r="N37" s="6" t="str"/>
      <x:c r="O37" s="6" t="str"/>
    </x:row>
    <x:row r="38" ht="51" customHeight="1">
      <x:c r="A38" s="5" t="str">
        <x:v>EDIT-011</x:v>
      </x:c>
      <x:c r="B38" s="5" t="str">
        <x:v>Tour Editor</x:v>
      </x:c>
      <x:c r="C38" s="5" t="str">
        <x:v>Hotspot editing by type</x:v>
      </x:c>
      <x:c r="D38" s="6" t="str">
        <x:v>As an editor, I want each hotspot type to collect the right content.</x:v>
      </x:c>
      <x:c r="E38" s="6" t="str">
        <x:v>Hotspot editor supports navigation, info, audio, video, link, and custom types with required fields, appearance controls, icon picker, manual yaw/pitch, and create/update API calls.</x:v>
      </x:c>
      <x:c r="F38" s="6" t="str">
        <x:v>src/components/features/HotspotEditorModal.tsx; src/components/features/HotspotIconPicker.tsx</x:v>
      </x:c>
      <x:c r="G38" s="5" t="str">
        <x:v>/tours/:id/edit</x:v>
      </x:c>
      <x:c r="H38" s="5" t="str">
        <x:v>Code inferred</x:v>
      </x:c>
      <x:c r="I38" s="5" t="str">
        <x:v>High</x:v>
      </x:c>
      <x:c r="J38" s="5" t="str">
        <x:v>P0</x:v>
      </x:c>
      <x:c r="K38" s="5" t="str">
        <x:v>Pending</x:v>
      </x:c>
      <x:c r="L38" s="5" t="str"/>
      <x:c r="M38" s="5" t="str">
        <x:v>Not started</x:v>
      </x:c>
      <x:c r="N38" s="6" t="str"/>
      <x:c r="O38" s="6" t="str"/>
    </x:row>
    <x:row r="39" ht="51" customHeight="1">
      <x:c r="A39" s="5" t="str">
        <x:v>EDIT-012</x:v>
      </x:c>
      <x:c r="B39" s="5" t="str">
        <x:v>Tour Editor</x:v>
      </x:c>
      <x:c r="C39" s="5" t="str">
        <x:v>Hotspot list and deletion</x:v>
      </x:c>
      <x:c r="D39" s="6" t="str">
        <x:v>As an editor, I want to manage hotspots from a side panel.</x:v>
      </x:c>
      <x:c r="E39" s="6" t="str">
        <x:v>Hotspot panel lists current-scene hotspots, selects them, opens quick edit, and deletes after confirmation.</x:v>
      </x:c>
      <x:c r="F39" s="6" t="str">
        <x:v>src/components/features/HotspotPanel.tsx; src/api/tours.ts</x:v>
      </x:c>
      <x:c r="G39" s="5" t="str">
        <x:v>/tours/:id/edit</x:v>
      </x:c>
      <x:c r="H39" s="5" t="str">
        <x:v>Code inferred</x:v>
      </x:c>
      <x:c r="I39" s="5" t="str">
        <x:v>High</x:v>
      </x:c>
      <x:c r="J39" s="5" t="str">
        <x:v>P1</x:v>
      </x:c>
      <x:c r="K39" s="5" t="str">
        <x:v>Pending</x:v>
      </x:c>
      <x:c r="L39" s="5" t="str"/>
      <x:c r="M39" s="5" t="str">
        <x:v>Not started</x:v>
      </x:c>
      <x:c r="N39" s="6" t="str"/>
      <x:c r="O39" s="6" t="str"/>
    </x:row>
    <x:row r="40" ht="51" customHeight="1">
      <x:c r="A40" s="5" t="str">
        <x:v>EDIT-013</x:v>
      </x:c>
      <x:c r="B40" s="5" t="str">
        <x:v>Tour Editor</x:v>
      </x:c>
      <x:c r="C40" s="5" t="str">
        <x:v>Hotspot drag reposition</x:v>
      </x:c>
      <x:c r="D40" s="6" t="str">
        <x:v>As an editor, I want to adjust hotspot placement visually.</x:v>
      </x:c>
      <x:c r="E40" s="6" t="str">
        <x:v>Viewer marker drag events update hotspot yaw/pitch through editor callbacks and persist through hotspot update behavior.</x:v>
      </x:c>
      <x:c r="F40" s="6" t="str">
        <x:v>src/components/features/PanoramaViewer.tsx; src/pages/tours/TourEditPage.tsx</x:v>
      </x:c>
      <x:c r="G40" s="5" t="str">
        <x:v>/tours/:id/edit</x:v>
      </x:c>
      <x:c r="H40" s="5" t="str">
        <x:v>Code inferred</x:v>
      </x:c>
      <x:c r="I40" s="5" t="str">
        <x:v>Medium</x:v>
      </x:c>
      <x:c r="J40" s="5" t="str">
        <x:v>P1</x:v>
      </x:c>
      <x:c r="K40" s="5" t="str">
        <x:v>Pending</x:v>
      </x:c>
      <x:c r="L40" s="5" t="str"/>
      <x:c r="M40" s="5" t="str">
        <x:v>Not started</x:v>
      </x:c>
      <x:c r="N40" s="6" t="str"/>
      <x:c r="O40" s="6" t="str"/>
    </x:row>
    <x:row r="41" ht="51" customHeight="1">
      <x:c r="A41" s="5" t="str">
        <x:v>EDIT-014</x:v>
      </x:c>
      <x:c r="B41" s="5" t="str">
        <x:v>Tour Editor</x:v>
      </x:c>
      <x:c r="C41" s="5" t="str">
        <x:v>Tour settings and embed configuration</x:v>
      </x:c>
      <x:c r="D41" s="6" t="str">
        <x:v>As an editor, I want to configure visibility and viewer options.</x:v>
      </x:c>
      <x:c r="E41" s="6" t="str">
        <x:v>Settings panel supports title, description, visibility, starting scene, auto-rotate speed, navbar, fullscreen, VR, gyroscope, share link, and generated iframe embed code.</x:v>
      </x:c>
      <x:c r="F41" s="6" t="str">
        <x:v>src/components/features/TourSettingsPanel.tsx; src/utils/embedCode.ts</x:v>
      </x:c>
      <x:c r="G41" s="5" t="str">
        <x:v>/tours/:id/edit</x:v>
      </x:c>
      <x:c r="H41" s="5" t="str">
        <x:v>Code inferred</x:v>
      </x:c>
      <x:c r="I41" s="5" t="str">
        <x:v>High</x:v>
      </x:c>
      <x:c r="J41" s="5" t="str">
        <x:v>P0</x:v>
      </x:c>
      <x:c r="K41" s="5" t="str">
        <x:v>Pending</x:v>
      </x:c>
      <x:c r="L41" s="5" t="str"/>
      <x:c r="M41" s="5" t="str">
        <x:v>Not started</x:v>
      </x:c>
      <x:c r="N41" s="6" t="str"/>
      <x:c r="O41" s="6" t="str"/>
    </x:row>
    <x:row r="42" ht="51" customHeight="1">
      <x:c r="A42" s="5" t="str">
        <x:v>EDIT-015</x:v>
      </x:c>
      <x:c r="B42" s="5" t="str">
        <x:v>Tour Editor</x:v>
      </x:c>
      <x:c r="C42" s="5" t="str">
        <x:v>Share modal</x:v>
      </x:c>
      <x:c r="D42" s="6" t="str">
        <x:v>As an editor, I want to share a published tour through links, QR, embeds, and social channels.</x:v>
      </x:c>
      <x:c r="E42" s="6" t="str">
        <x:v>Share modal provides copyable public link and iframe, QR PNG/SVG download, and social share buttons with copy feedback.</x:v>
      </x:c>
      <x:c r="F42" s="6" t="str">
        <x:v>src/components/features/ShareModal.tsx; src/utils/qrCode.ts; src/utils/embedCode.ts</x:v>
      </x:c>
      <x:c r="G42" s="5" t="str">
        <x:v>/tours/:id/edit; /tours/:id</x:v>
      </x:c>
      <x:c r="H42" s="5" t="str">
        <x:v>Code inferred</x:v>
      </x:c>
      <x:c r="I42" s="5" t="str">
        <x:v>High</x:v>
      </x:c>
      <x:c r="J42" s="5" t="str">
        <x:v>P1</x:v>
      </x:c>
      <x:c r="K42" s="5" t="str">
        <x:v>Pending</x:v>
      </x:c>
      <x:c r="L42" s="5" t="str"/>
      <x:c r="M42" s="5" t="str">
        <x:v>Not started</x:v>
      </x:c>
      <x:c r="N42" s="6" t="str"/>
      <x:c r="O42" s="6" t="str"/>
    </x:row>
    <x:row r="43" ht="51" customHeight="1">
      <x:c r="A43" s="5" t="str">
        <x:v>EDIT-016</x:v>
      </x:c>
      <x:c r="B43" s="5" t="str">
        <x:v>Tour Editor</x:v>
      </x:c>
      <x:c r="C43" s="5" t="str">
        <x:v>Branding panel</x:v>
      </x:c>
      <x:c r="D43" s="6" t="str">
        <x:v>As an editor, I want the viewer to match my brand.</x:v>
      </x:c>
      <x:c r="E43" s="6" t="str">
        <x:v>Branding panel edits colors, font, button style, watermark, logo upload/removal, desktop/mobile preview, reset defaults, and avoids persisting failed blob logo URLs.</x:v>
      </x:c>
      <x:c r="F43" s="6" t="str">
        <x:v>src/components/features/BrandingPanel.tsx; src/api/upload.ts</x:v>
      </x:c>
      <x:c r="G43" s="5" t="str">
        <x:v>/tours/:id/edit</x:v>
      </x:c>
      <x:c r="H43" s="5" t="str">
        <x:v>Code inferred</x:v>
      </x:c>
      <x:c r="I43" s="5" t="str">
        <x:v>High</x:v>
      </x:c>
      <x:c r="J43" s="5" t="str">
        <x:v>P1</x:v>
      </x:c>
      <x:c r="K43" s="5" t="str">
        <x:v>Pending</x:v>
      </x:c>
      <x:c r="L43" s="5" t="str"/>
      <x:c r="M43" s="5" t="str">
        <x:v>Not started</x:v>
      </x:c>
      <x:c r="N43" s="6" t="str"/>
      <x:c r="O43" s="6" t="str"/>
    </x:row>
    <x:row r="44" ht="51" customHeight="1">
      <x:c r="A44" s="5" t="str">
        <x:v>EDIT-017</x:v>
      </x:c>
      <x:c r="B44" s="5" t="str">
        <x:v>Tour Editor</x:v>
      </x:c>
      <x:c r="C44" s="5" t="str">
        <x:v>Floor plan editor</x:v>
      </x:c>
      <x:c r="D44" s="6" t="str">
        <x:v>As an editor, I want floor plans with scene markers.</x:v>
      </x:c>
      <x:c r="E44" s="6" t="str">
        <x:v>Floor plan editor adds, deletes, reorders, renames plans, uploads plan images, places/moves/removes scene markers by clicking image coordinates, and saves plan data.</x:v>
      </x:c>
      <x:c r="F44" s="6" t="str">
        <x:v>src/components/features/FloorPlanEditor.tsx; src/api/tours.ts</x:v>
      </x:c>
      <x:c r="G44" s="5" t="str">
        <x:v>/tours/:id/edit</x:v>
      </x:c>
      <x:c r="H44" s="5" t="str">
        <x:v>Retested - pass</x:v>
      </x:c>
      <x:c r="I44" s="5" t="str">
        <x:v>High</x:v>
      </x:c>
      <x:c r="J44" s="5" t="str">
        <x:v>P1</x:v>
      </x:c>
      <x:c r="K44" s="5" t="str">
        <x:v>Automated pass</x:v>
      </x:c>
      <x:c r="L44" s="5" t="str">
        <x:v>DEF-003</x:v>
      </x:c>
      <x:c r="M44" s="5" t="str">
        <x:v>Retested</x:v>
      </x:c>
      <x:c r="N44" s="6" t="str">
        <x:v>src/test/user-behaviors/editor/floor-plan-editor.test.tsx</x:v>
      </x:c>
      <x:c r="O44" s="6" t="str">
        <x:v>Failed floor-plan uploads now show an inline error and do not persist blob URLs.</x:v>
      </x:c>
    </x:row>
    <x:row r="45" ht="51" customHeight="1">
      <x:c r="A45" s="5" t="str">
        <x:v>EDIT-018</x:v>
      </x:c>
      <x:c r="B45" s="5" t="str">
        <x:v>Tour Editor</x:v>
      </x:c>
      <x:c r="C45" s="5" t="str">
        <x:v>AI scene analysis</x:v>
      </x:c>
      <x:c r="D45" s="6" t="str">
        <x:v>As an editor, I want AI to identify rooms and suggest scene metadata.</x:v>
      </x:c>
      <x:c r="E45" s="6" t="str">
        <x:v>Scene analysis starts an AI job, tracks progress, displays room type/confidence/quality/features, selects results, and applies selected titles/descriptions.</x:v>
      </x:c>
      <x:c r="F45" s="6" t="str">
        <x:v>src/components/features/ai/SceneAnalysis.tsx; src/components/features/ai/AIJobStatus.tsx; src/api/ai.ts</x:v>
      </x:c>
      <x:c r="G45" s="5" t="str">
        <x:v>/tours/:id/edit</x:v>
      </x:c>
      <x:c r="H45" s="5" t="str">
        <x:v>Retested - pass</x:v>
      </x:c>
      <x:c r="I45" s="5" t="str">
        <x:v>High</x:v>
      </x:c>
      <x:c r="J45" s="5" t="str">
        <x:v>P1</x:v>
      </x:c>
      <x:c r="K45" s="5" t="str">
        <x:v>Automated pass</x:v>
      </x:c>
      <x:c r="L45" s="5" t="str">
        <x:v>DEF-004</x:v>
      </x:c>
      <x:c r="M45" s="5" t="str">
        <x:v>Retested</x:v>
      </x:c>
      <x:c r="N45" s="6" t="str">
        <x:v>src/test/user-behaviors/editor/scene-analysis.test.tsx</x:v>
      </x:c>
      <x:c r="O45" s="6" t="str">
        <x:v>Scene analysis result checkbox is keyboard and pointer operable.</x:v>
      </x:c>
    </x:row>
    <x:row r="46" ht="51" customHeight="1">
      <x:c r="A46" s="5" t="str">
        <x:v>EDIT-019</x:v>
      </x:c>
      <x:c r="B46" s="5" t="str">
        <x:v>Tour Editor</x:v>
      </x:c>
      <x:c r="C46" s="5" t="str">
        <x:v>AI descriptions</x:v>
      </x:c>
      <x:c r="D46" s="6" t="str">
        <x:v>As an editor, I want AI-written scene descriptions that I can edit before applying.</x:v>
      </x:c>
      <x:c r="E46" s="6" t="str">
        <x:v>Description generator accepts tone, length, and audience, tracks an AI job, supports retry, edit/reset/copy per scene, regenerate all, and apply.</x:v>
      </x:c>
      <x:c r="F46" s="6" t="str">
        <x:v>src/components/features/ai/DescriptionGenerator.tsx; src/components/features/ai/AiRetryError.tsx; src/api/ai.ts</x:v>
      </x:c>
      <x:c r="G46" s="5" t="str">
        <x:v>/tours/:id/edit</x:v>
      </x:c>
      <x:c r="H46" s="5" t="str">
        <x:v>Code inferred</x:v>
      </x:c>
      <x:c r="I46" s="5" t="str">
        <x:v>High</x:v>
      </x:c>
      <x:c r="J46" s="5" t="str">
        <x:v>P1</x:v>
      </x:c>
      <x:c r="K46" s="5" t="str">
        <x:v>Pending</x:v>
      </x:c>
      <x:c r="L46" s="5" t="str"/>
      <x:c r="M46" s="5" t="str">
        <x:v>Not started</x:v>
      </x:c>
      <x:c r="N46" s="6" t="str"/>
      <x:c r="O46" s="6" t="str"/>
    </x:row>
    <x:row r="47" ht="51" customHeight="1">
      <x:c r="A47" s="5" t="str">
        <x:v>EDIT-020</x:v>
      </x:c>
      <x:c r="B47" s="5" t="str">
        <x:v>Tour Editor</x:v>
      </x:c>
      <x:c r="C47" s="5" t="str">
        <x:v>AI hotspot suggestions</x:v>
      </x:c>
      <x:c r="D47" s="6" t="str">
        <x:v>As an editor, I want AI to recommend navigation/info hotspots.</x:v>
      </x:c>
      <x:c r="E47" s="6" t="str">
        <x:v>Hotspot suggestions analyze the current scene, preview approximate marker positions, select/deselect suggestions, show target scenes/confidence, and add selected hotspots.</x:v>
      </x:c>
      <x:c r="F47" s="6" t="str">
        <x:v>src/components/features/ai/HotspotSuggestions.tsx; src/api/ai.ts</x:v>
      </x:c>
      <x:c r="G47" s="5" t="str">
        <x:v>/tours/:id/edit</x:v>
      </x:c>
      <x:c r="H47" s="5" t="str">
        <x:v>Code inferred</x:v>
      </x:c>
      <x:c r="I47" s="5" t="str">
        <x:v>High</x:v>
      </x:c>
      <x:c r="J47" s="5" t="str">
        <x:v>P1</x:v>
      </x:c>
      <x:c r="K47" s="5" t="str">
        <x:v>Pending</x:v>
      </x:c>
      <x:c r="L47" s="5" t="str"/>
      <x:c r="M47" s="5" t="str">
        <x:v>Not started</x:v>
      </x:c>
      <x:c r="N47" s="6" t="str"/>
      <x:c r="O47" s="6" t="str"/>
    </x:row>
    <x:row r="48" ht="51" customHeight="1">
      <x:c r="A48" s="5" t="str">
        <x:v>EDIT-021</x:v>
      </x:c>
      <x:c r="B48" s="5" t="str">
        <x:v>Tour Editor</x:v>
      </x:c>
      <x:c r="C48" s="5" t="str">
        <x:v>AI reel generation</x:v>
      </x:c>
      <x:c r="D48" s="6" t="str">
        <x:v>As an editor, I want to generate a vertical social video from selected scenes.</x:v>
      </x:c>
      <x:c r="E48" s="6" t="str">
        <x:v>Reel modal orders and selects scenes, adjusts seconds per scene, starts an AI job, tracks progress, cancels, previews result, downloads, copies link, and retries after error.</x:v>
      </x:c>
      <x:c r="F48" s="6" t="str">
        <x:v>src/components/features/ai/ReelGeneratorModal.tsx; src/components/features/VideoPlayer.tsx; src/api/ai.ts</x:v>
      </x:c>
      <x:c r="G48" s="5" t="str">
        <x:v>/tours/:id/edit</x:v>
      </x:c>
      <x:c r="H48" s="5" t="str">
        <x:v>Retested - pass</x:v>
      </x:c>
      <x:c r="I48" s="5" t="str">
        <x:v>High</x:v>
      </x:c>
      <x:c r="J48" s="5" t="str">
        <x:v>P2</x:v>
      </x:c>
      <x:c r="K48" s="5" t="str">
        <x:v>Automated pass</x:v>
      </x:c>
      <x:c r="L48" s="5" t="str">
        <x:v>DEF-006</x:v>
      </x:c>
      <x:c r="M48" s="5" t="str">
        <x:v>Retested</x:v>
      </x:c>
      <x:c r="N48" s="6" t="str">
        <x:v>src/test/user-behaviors/viewer/video-player.test.tsx</x:v>
      </x:c>
      <x:c r="O48" s="6" t="str">
        <x:v>Video progress, buffer, and scrubber styles stay finite before metadata loads.</x:v>
      </x:c>
    </x:row>
    <x:row r="49" ht="51" customHeight="1">
      <x:c r="A49" s="5" t="str">
        <x:v>EDIT-022</x:v>
      </x:c>
      <x:c r="B49" s="5" t="str">
        <x:v>Tour Editor</x:v>
      </x:c>
      <x:c r="C49" s="5" t="str">
        <x:v>Activity feed</x:v>
      </x:c>
      <x:c r="D49" s="6" t="str">
        <x:v>As a collaborator, I want to see what changed on a tour.</x:v>
      </x:c>
      <x:c r="E49" s="6" t="str">
        <x:v>Activity feed filters by action, groups by local date, shows actor/action/target/time/details, supports refresh, and summarizes count/last activity.</x:v>
      </x:c>
      <x:c r="F49" s="6" t="str">
        <x:v>src/components/features/ActivityFeed.tsx; src/stores/collaborationStore.ts; src/api/collaboration.ts</x:v>
      </x:c>
      <x:c r="G49" s="5" t="str">
        <x:v>/tours/:id/edit</x:v>
      </x:c>
      <x:c r="H49" s="5" t="str">
        <x:v>Code inferred</x:v>
      </x:c>
      <x:c r="I49" s="5" t="str">
        <x:v>Medium</x:v>
      </x:c>
      <x:c r="J49" s="5" t="str">
        <x:v>P2</x:v>
      </x:c>
      <x:c r="K49" s="5" t="str">
        <x:v>Pending</x:v>
      </x:c>
      <x:c r="L49" s="5" t="str"/>
      <x:c r="M49" s="5" t="str">
        <x:v>Not started</x:v>
      </x:c>
      <x:c r="N49" s="6" t="str"/>
      <x:c r="O49" s="6" t="str"/>
    </x:row>
    <x:row r="50" ht="51" customHeight="1">
      <x:c r="A50" s="5" t="str">
        <x:v>EDIT-023</x:v>
      </x:c>
      <x:c r="B50" s="5" t="str">
        <x:v>Tour Editor</x:v>
      </x:c>
      <x:c r="C50" s="5" t="str">
        <x:v>Collaborator management</x:v>
      </x:c>
      <x:c r="D50" s="6" t="str">
        <x:v>As an owner/editor, I want to invite and remove collaborators.</x:v>
      </x:c>
      <x:c r="E50" s="6" t="str">
        <x:v>Collaborator popover fetches collaborators, displays avatars/roles, invites editor/viewer by email, prevents owner removal, and confirms removals.</x:v>
      </x:c>
      <x:c r="F50" s="6" t="str">
        <x:v>src/pages/tours/TourEditPage.tsx; src/stores/collaborationStore.ts; src/api/collaboration.ts</x:v>
      </x:c>
      <x:c r="G50" s="5" t="str">
        <x:v>/tours/:id/edit</x:v>
      </x:c>
      <x:c r="H50" s="5" t="str">
        <x:v>Code inferred</x:v>
      </x:c>
      <x:c r="I50" s="5" t="str">
        <x:v>High</x:v>
      </x:c>
      <x:c r="J50" s="5" t="str">
        <x:v>P1</x:v>
      </x:c>
      <x:c r="K50" s="5" t="str">
        <x:v>Pending</x:v>
      </x:c>
      <x:c r="L50" s="5" t="str"/>
      <x:c r="M50" s="5" t="str">
        <x:v>Not started</x:v>
      </x:c>
      <x:c r="N50" s="6" t="str"/>
      <x:c r="O50" s="6" t="str"/>
    </x:row>
    <x:row r="51" ht="51" customHeight="1">
      <x:c r="A51" s="5" t="str">
        <x:v>EDIT-024</x:v>
      </x:c>
      <x:c r="B51" s="5" t="str">
        <x:v>Tour Editor</x:v>
      </x:c>
      <x:c r="C51" s="5" t="str">
        <x:v>Bulk scene uploader</x:v>
      </x:c>
      <x:c r="D51" s="6" t="str">
        <x:v>As an editor, I want to upload multiple panoramas with resilient progress and retry.</x:v>
      </x:c>
      <x:c r="E51" s="6" t="str">
        <x:v>Bulk uploader validates files, previews accepted images, uploads with bounded concurrency, shows per-file status/progress, retries failed files, clears/removes items, and invalidates scenes after success.</x:v>
      </x:c>
      <x:c r="F51" s="6" t="str">
        <x:v>src/components/features/BulkUploader.tsx; src/api/upload.ts</x:v>
      </x:c>
      <x:c r="G51" s="5" t="str">
        <x:v>/tours/:id/edit</x:v>
      </x:c>
      <x:c r="H51" s="5" t="str">
        <x:v>Retested - pass</x:v>
      </x:c>
      <x:c r="I51" s="5" t="str">
        <x:v>High</x:v>
      </x:c>
      <x:c r="J51" s="5" t="str">
        <x:v>P1</x:v>
      </x:c>
      <x:c r="K51" s="5" t="str">
        <x:v>Automated pass</x:v>
      </x:c>
      <x:c r="L51" s="5" t="str">
        <x:v>DEF-001</x:v>
      </x:c>
      <x:c r="M51" s="5" t="str">
        <x:v>Retested</x:v>
      </x:c>
      <x:c r="N51" s="6" t="str">
        <x:v>src/test/user-behaviors/editor/upload-confirmations.test.tsx</x:v>
      </x:c>
      <x:c r="O51" s="6" t="str">
        <x:v>Bulk uploader close/cancel uses the styled confirmation dialog during active uploads.</x:v>
      </x:c>
    </x:row>
    <x:row r="52" ht="51" customHeight="1">
      <x:c r="A52" s="5" t="str">
        <x:v>EDIT-025</x:v>
      </x:c>
      <x:c r="B52" s="5" t="str">
        <x:v>Tour Editor</x:v>
      </x:c>
      <x:c r="C52" s="5" t="str">
        <x:v>Custom domain setup</x:v>
      </x:c>
      <x:c r="D52" s="6" t="str">
        <x:v>As a business user, I want to connect a branded subdomain.</x:v>
      </x:c>
      <x:c r="E52" s="6" t="str">
        <x:v>Custom domain modal validates domain input, shows DNS CNAME/TXT records, copies values, verifies/removes domain, and displays SSL state.</x:v>
      </x:c>
      <x:c r="F52" s="6" t="str">
        <x:v>src/components/features/CustomDomainSetup.tsx</x:v>
      </x:c>
      <x:c r="G52" s="5" t="str">
        <x:v>Unlinked component</x:v>
      </x:c>
      <x:c r="H52" s="5" t="str">
        <x:v>Retested - pass</x:v>
      </x:c>
      <x:c r="I52" s="5" t="str">
        <x:v>Medium</x:v>
      </x:c>
      <x:c r="J52" s="5" t="str">
        <x:v>P3</x:v>
      </x:c>
      <x:c r="K52" s="5" t="str">
        <x:v>Automated pass</x:v>
      </x:c>
      <x:c r="L52" s="5" t="str">
        <x:v>DEF-005</x:v>
      </x:c>
      <x:c r="M52" s="5" t="str">
        <x:v>Retested</x:v>
      </x:c>
      <x:c r="N52" s="6" t="str">
        <x:v>src/test/user-behaviors/account/custom-domain-setup.test.tsx</x:v>
      </x:c>
      <x:c r="O52" s="6" t="str">
        <x:v>Domain validation accepts and normalizes valid branded subdomains while rejecting malformed labels.</x:v>
      </x:c>
    </x:row>
    <x:row r="53" ht="51" customHeight="1">
      <x:c r="A53" s="5" t="str">
        <x:v>EDIT-026</x:v>
      </x:c>
      <x:c r="B53" s="5" t="str">
        <x:v>Tour Editor</x:v>
      </x:c>
      <x:c r="C53" s="5" t="str">
        <x:v>Video upload for hotspot media</x:v>
      </x:c>
      <x:c r="D53" s="6" t="str">
        <x:v>As an editor, I want to upload 360 video content for hotspots.</x:v>
      </x:c>
      <x:c r="E53" s="6" t="str">
        <x:v>Video uploader validates size/format, extracts duration and thumbnail, uploads the video and best-effort thumbnail, reports status/retry/remove, and returns durable media URLs.</x:v>
      </x:c>
      <x:c r="F53" s="6" t="str">
        <x:v>src/components/features/VideoUploader.tsx; src/api/upload.ts</x:v>
      </x:c>
      <x:c r="G53" s="5" t="str">
        <x:v>Hotspot/media modal</x:v>
      </x:c>
      <x:c r="H53" s="5" t="str">
        <x:v>Retested - pass</x:v>
      </x:c>
      <x:c r="I53" s="5" t="str">
        <x:v>Medium</x:v>
      </x:c>
      <x:c r="J53" s="5" t="str">
        <x:v>P2</x:v>
      </x:c>
      <x:c r="K53" s="5" t="str">
        <x:v>Automated pass</x:v>
      </x:c>
      <x:c r="L53" s="5" t="str">
        <x:v>DEF-002</x:v>
      </x:c>
      <x:c r="M53" s="5" t="str">
        <x:v>Retested</x:v>
      </x:c>
      <x:c r="N53" s="6" t="str">
        <x:v>src/test/user-behaviors/editor/upload-confirmations.test.tsx</x:v>
      </x:c>
      <x:c r="O53" s="6" t="str">
        <x:v>Video uploader close/cancel uses the styled confirmation dialog while pending uploads exist.</x:v>
      </x:c>
    </x:row>
    <x:row r="54" ht="51" customHeight="1">
      <x:c r="A54" s="5" t="str">
        <x:v>VIEW-001</x:v>
      </x:c>
      <x:c r="B54" s="5" t="str">
        <x:v>Public Viewer</x:v>
      </x:c>
      <x:c r="C54" s="5" t="str">
        <x:v>Public tour loading and settings</x:v>
      </x:c>
      <x:c r="D54" s="6" t="str">
        <x:v>As a public viewer, I want a published tour to open with the intended scene and controls.</x:v>
      </x:c>
      <x:c r="E54" s="6" t="str">
        <x:v>Public viewer fetches tour/scenes without duplicate tracking, merges URL params with viewer settings, initializes requested/default scene, and handles loading/error/empty states.</x:v>
      </x:c>
      <x:c r="F54" s="6" t="str">
        <x:v>src/pages/PublicTourPage.tsx; src/stores/viewerStore.ts; src/api/tours.ts</x:v>
      </x:c>
      <x:c r="G54" s="5" t="str">
        <x:v>/view/:id</x:v>
      </x:c>
      <x:c r="H54" s="5" t="str">
        <x:v>Code inferred</x:v>
      </x:c>
      <x:c r="I54" s="5" t="str">
        <x:v>High</x:v>
      </x:c>
      <x:c r="J54" s="5" t="str">
        <x:v>P0</x:v>
      </x:c>
      <x:c r="K54" s="5" t="str">
        <x:v>Pending</x:v>
      </x:c>
      <x:c r="L54" s="5" t="str"/>
      <x:c r="M54" s="5" t="str">
        <x:v>Not started</x:v>
      </x:c>
      <x:c r="N54" s="6" t="str"/>
      <x:c r="O54" s="6" t="str"/>
    </x:row>
    <x:row r="55" ht="51" customHeight="1">
      <x:c r="A55" s="5" t="str">
        <x:v>VIEW-002</x:v>
      </x:c>
      <x:c r="B55" s="5" t="str">
        <x:v>Public Viewer</x:v>
      </x:c>
      <x:c r="C55" s="5" t="str">
        <x:v>Scene navigation</x:v>
      </x:c>
      <x:c r="D55" s="6" t="str">
        <x:v>As a public viewer, I want to move between rooms easily.</x:v>
      </x:c>
      <x:c r="E55" s="6" t="str">
        <x:v>Viewer supports thumbnails, scene counter, current scene badge, two-finger swipe, and keyboard previous/next shortcuts.</x:v>
      </x:c>
      <x:c r="F55" s="6" t="str">
        <x:v>src/pages/PublicTourPage.tsx; src/hooks/useTwoFingerSwipe.ts; src/components/features/PanoramaViewer.tsx</x:v>
      </x:c>
      <x:c r="G55" s="5" t="str">
        <x:v>/view/:id</x:v>
      </x:c>
      <x:c r="H55" s="5" t="str">
        <x:v>Code inferred</x:v>
      </x:c>
      <x:c r="I55" s="5" t="str">
        <x:v>High</x:v>
      </x:c>
      <x:c r="J55" s="5" t="str">
        <x:v>P0</x:v>
      </x:c>
      <x:c r="K55" s="5" t="str">
        <x:v>Pending</x:v>
      </x:c>
      <x:c r="L55" s="5" t="str"/>
      <x:c r="M55" s="5" t="str">
        <x:v>Not started</x:v>
      </x:c>
      <x:c r="N55" s="6" t="str"/>
      <x:c r="O55" s="6" t="str"/>
    </x:row>
    <x:row r="56" ht="51" customHeight="1">
      <x:c r="A56" s="5" t="str">
        <x:v>VIEW-003</x:v>
      </x:c>
      <x:c r="B56" s="5" t="str">
        <x:v>Public Viewer</x:v>
      </x:c>
      <x:c r="C56" s="5" t="str">
        <x:v>Viewer keyboard and overlays</x:v>
      </x:c>
      <x:c r="D56" s="6" t="str">
        <x:v>As a public viewer, I want keyboard shortcuts for common viewer actions.</x:v>
      </x:c>
      <x:c r="E56" s="6" t="str">
        <x:v>Keyboard shortcuts toggle fullscreen, mute, info, share, hints, and close overlays with Esc.</x:v>
      </x:c>
      <x:c r="F56" s="6" t="str">
        <x:v>src/pages/PublicTourPage.tsx</x:v>
      </x:c>
      <x:c r="G56" s="5" t="str">
        <x:v>/view/:id</x:v>
      </x:c>
      <x:c r="H56" s="5" t="str">
        <x:v>Code inferred</x:v>
      </x:c>
      <x:c r="I56" s="5" t="str">
        <x:v>High</x:v>
      </x:c>
      <x:c r="J56" s="5" t="str">
        <x:v>P1</x:v>
      </x:c>
      <x:c r="K56" s="5" t="str">
        <x:v>Pending</x:v>
      </x:c>
      <x:c r="L56" s="5" t="str"/>
      <x:c r="M56" s="5" t="str">
        <x:v>Not started</x:v>
      </x:c>
      <x:c r="N56" s="6" t="str"/>
      <x:c r="O56" s="6" t="str"/>
    </x:row>
    <x:row r="57" ht="51" customHeight="1">
      <x:c r="A57" s="5" t="str">
        <x:v>VIEW-004</x:v>
      </x:c>
      <x:c r="B57" s="5" t="str">
        <x:v>Public Viewer</x:v>
      </x:c>
      <x:c r="C57" s="5" t="str">
        <x:v>Hotspot content playback</x:v>
      </x:c>
      <x:c r="D57" s="6" t="str">
        <x:v>As a public viewer, I want hotspot content to be useful and safe.</x:v>
      </x:c>
      <x:c r="E57" s="6" t="str">
        <x:v>Hotspot modal renders info, audio, video, link, and custom content; custom HTML is sandboxed; link hotspots can open external URLs and close modal.</x:v>
      </x:c>
      <x:c r="F57" s="6" t="str">
        <x:v>src/pages/PublicTourPage.tsx; src/components/features/HotspotContentModal.tsx; src/components/features/VideoPlayer.tsx</x:v>
      </x:c>
      <x:c r="G57" s="5" t="str">
        <x:v>/view/:id</x:v>
      </x:c>
      <x:c r="H57" s="5" t="str">
        <x:v>Code inferred</x:v>
      </x:c>
      <x:c r="I57" s="5" t="str">
        <x:v>High</x:v>
      </x:c>
      <x:c r="J57" s="5" t="str">
        <x:v>P0</x:v>
      </x:c>
      <x:c r="K57" s="5" t="str">
        <x:v>Pending</x:v>
      </x:c>
      <x:c r="L57" s="5" t="str"/>
      <x:c r="M57" s="5" t="str">
        <x:v>Not started</x:v>
      </x:c>
      <x:c r="N57" s="6" t="str"/>
      <x:c r="O57" s="6" t="str"/>
    </x:row>
    <x:row r="58" ht="51" customHeight="1">
      <x:c r="A58" s="5" t="str">
        <x:v>VIEW-005</x:v>
      </x:c>
      <x:c r="B58" s="5" t="str">
        <x:v>Public Viewer</x:v>
      </x:c>
      <x:c r="C58" s="5" t="str">
        <x:v>Public share and like</x:v>
      </x:c>
      <x:c r="D58" s="6" t="str">
        <x:v>As a public viewer, I want to share or like a tour.</x:v>
      </x:c>
      <x:c r="E58" s="6" t="str">
        <x:v>Viewer exposes share modal, optimistic like/unlike with rollback and double-click guard, and share tracking.</x:v>
      </x:c>
      <x:c r="F58" s="6" t="str">
        <x:v>src/pages/PublicTourPage.tsx; src/components/features/ShareModal.tsx; src/hooks/usePublicTourTracking.ts</x:v>
      </x:c>
      <x:c r="G58" s="5" t="str">
        <x:v>/view/:id</x:v>
      </x:c>
      <x:c r="H58" s="5" t="str">
        <x:v>Code inferred</x:v>
      </x:c>
      <x:c r="I58" s="5" t="str">
        <x:v>High</x:v>
      </x:c>
      <x:c r="J58" s="5" t="str">
        <x:v>P1</x:v>
      </x:c>
      <x:c r="K58" s="5" t="str">
        <x:v>Pending</x:v>
      </x:c>
      <x:c r="L58" s="5" t="str"/>
      <x:c r="M58" s="5" t="str">
        <x:v>Not started</x:v>
      </x:c>
      <x:c r="N58" s="6" t="str"/>
      <x:c r="O58" s="6" t="str"/>
    </x:row>
    <x:row r="59" ht="51" customHeight="1">
      <x:c r="A59" s="5" t="str">
        <x:v>VIEW-006</x:v>
      </x:c>
      <x:c r="B59" s="5" t="str">
        <x:v>Public Viewer</x:v>
      </x:c>
      <x:c r="C59" s="5" t="str">
        <x:v>Floor plan overlay</x:v>
      </x:c>
      <x:c r="D59" s="6" t="str">
        <x:v>As a public viewer, I want spatial context from floor plans.</x:v>
      </x:c>
      <x:c r="E59" s="6" t="str">
        <x:v>Overlay can minimize/expand, chooses the floor containing the current scene, supports floor switching, marker tooltips, and scene navigation from markers.</x:v>
      </x:c>
      <x:c r="F59" s="6" t="str">
        <x:v>src/components/features/FloorPlanOverlay.tsx; src/pages/PublicTourPage.tsx</x:v>
      </x:c>
      <x:c r="G59" s="5" t="str">
        <x:v>/view/:id</x:v>
      </x:c>
      <x:c r="H59" s="5" t="str">
        <x:v>Code inferred</x:v>
      </x:c>
      <x:c r="I59" s="5" t="str">
        <x:v>High</x:v>
      </x:c>
      <x:c r="J59" s="5" t="str">
        <x:v>P1</x:v>
      </x:c>
      <x:c r="K59" s="5" t="str">
        <x:v>Pending</x:v>
      </x:c>
      <x:c r="L59" s="5" t="str"/>
      <x:c r="M59" s="5" t="str">
        <x:v>Not started</x:v>
      </x:c>
      <x:c r="N59" s="6" t="str"/>
      <x:c r="O59" s="6" t="str"/>
    </x:row>
    <x:row r="60" ht="51" customHeight="1">
      <x:c r="A60" s="5" t="str">
        <x:v>VIEW-007</x:v>
      </x:c>
      <x:c r="B60" s="5" t="str">
        <x:v>Public Viewer</x:v>
      </x:c>
      <x:c r="C60" s="5" t="str">
        <x:v>Public analytics tracking</x:v>
      </x:c>
      <x:c r="D60" s="6" t="str">
        <x:v>As an owner, I want public visits and interactions tracked without breaking viewing.</x:v>
      </x:c>
      <x:c r="E60" s="6" t="str">
        <x:v>Public tour tracking initializes a session, tracks scene changes, shares, hotspot clicks, and likes with best-effort API calls.</x:v>
      </x:c>
      <x:c r="F60" s="6" t="str">
        <x:v>src/hooks/usePublicTourTracking.ts; src/utils/analytics.ts; src/api/tours.ts</x:v>
      </x:c>
      <x:c r="G60" s="5" t="str">
        <x:v>/view/:id</x:v>
      </x:c>
      <x:c r="H60" s="5" t="str">
        <x:v>Retested - pass</x:v>
      </x:c>
      <x:c r="I60" s="5" t="str">
        <x:v>Medium</x:v>
      </x:c>
      <x:c r="J60" s="5" t="str">
        <x:v>P2</x:v>
      </x:c>
      <x:c r="K60" s="5" t="str">
        <x:v>Automated pass</x:v>
      </x:c>
      <x:c r="L60" s="5" t="str">
        <x:v>DEF-007</x:v>
      </x:c>
      <x:c r="M60" s="5" t="str">
        <x:v>Retested</x:v>
      </x:c>
      <x:c r="N60" s="6" t="str">
        <x:v>src/test/stores/viewerStore.test.ts</x:v>
      </x:c>
      <x:c r="O60" s="6" t="str">
        <x:v>Unload tracking remains best-effort and catches rejected keepalive fetches.</x:v>
      </x:c>
    </x:row>
    <x:row r="61" ht="51" customHeight="1">
      <x:c r="A61" s="5" t="str">
        <x:v>EMBED-001</x:v>
      </x:c>
      <x:c r="B61" s="5" t="str">
        <x:v>Embed Viewer</x:v>
      </x:c>
      <x:c r="C61" s="5" t="str">
        <x:v>Embeddable tour loading and controls</x:v>
      </x:c>
      <x:c r="D61" s="6" t="str">
        <x:v>As a site owner, I want to embed a tour with configurable chrome.</x:v>
      </x:c>
      <x:c r="E61" s="6" t="str">
        <x:v>Embed viewer supports URL params for starting scene, autoplay, navbar, branding, minimal mode, autohide, fullscreen, VR, and rotation.</x:v>
      </x:c>
      <x:c r="F61" s="6" t="str">
        <x:v>src/pages/EmbedTourPage.tsx; src/utils/embedCode.ts</x:v>
      </x:c>
      <x:c r="G61" s="5" t="str">
        <x:v>/embed/:id</x:v>
      </x:c>
      <x:c r="H61" s="5" t="str">
        <x:v>Code inferred</x:v>
      </x:c>
      <x:c r="I61" s="5" t="str">
        <x:v>High</x:v>
      </x:c>
      <x:c r="J61" s="5" t="str">
        <x:v>P0</x:v>
      </x:c>
      <x:c r="K61" s="5" t="str">
        <x:v>Pending</x:v>
      </x:c>
      <x:c r="L61" s="5" t="str"/>
      <x:c r="M61" s="5" t="str">
        <x:v>Not started</x:v>
      </x:c>
      <x:c r="N61" s="6" t="str"/>
      <x:c r="O61" s="6" t="str"/>
    </x:row>
    <x:row r="62" ht="51" customHeight="1">
      <x:c r="A62" s="5" t="str">
        <x:v>EMBED-002</x:v>
      </x:c>
      <x:c r="B62" s="5" t="str">
        <x:v>Embed Viewer</x:v>
      </x:c>
      <x:c r="C62" s="5" t="str">
        <x:v>Parent page messaging</x:v>
      </x:c>
      <x:c r="D62" s="6" t="str">
        <x:v>As an integrating website, I want to control the embedded tour and receive events.</x:v>
      </x:c>
      <x:c r="E62" s="6" t="str">
        <x:v>Embed posts ready, sceneChange, hotspotClick, fullscreenChange, and error messages, and accepts goToScene, nextScene, previousScene, and toggleFullscreen from the parent/same window.</x:v>
      </x:c>
      <x:c r="F62" s="6" t="str">
        <x:v>src/pages/EmbedTourPage.tsx</x:v>
      </x:c>
      <x:c r="G62" s="5" t="str">
        <x:v>/embed/:id</x:v>
      </x:c>
      <x:c r="H62" s="5" t="str">
        <x:v>Code inferred</x:v>
      </x:c>
      <x:c r="I62" s="5" t="str">
        <x:v>High</x:v>
      </x:c>
      <x:c r="J62" s="5" t="str">
        <x:v>P1</x:v>
      </x:c>
      <x:c r="K62" s="5" t="str">
        <x:v>Pending</x:v>
      </x:c>
      <x:c r="L62" s="5" t="str"/>
      <x:c r="M62" s="5" t="str">
        <x:v>Not started</x:v>
      </x:c>
      <x:c r="N62" s="6" t="str"/>
      <x:c r="O62" s="6" t="str"/>
    </x:row>
    <x:row r="63" ht="51" customHeight="1">
      <x:c r="A63" s="5" t="str">
        <x:v>EMBED-003</x:v>
      </x:c>
      <x:c r="B63" s="5" t="str">
        <x:v>Embed Viewer</x:v>
      </x:c>
      <x:c r="C63" s="5" t="str">
        <x:v>Minimal and autohide chrome</x:v>
      </x:c>
      <x:c r="D63" s="6" t="str">
        <x:v>As a site owner, I want unobtrusive embedded controls.</x:v>
      </x:c>
      <x:c r="E63" s="6" t="str">
        <x:v>Embed hides or minimizes chrome based on params, auto-hides controls after inactivity, and keeps arrows/counter available in minimal mode.</x:v>
      </x:c>
      <x:c r="F63" s="6" t="str">
        <x:v>src/pages/EmbedTourPage.tsx</x:v>
      </x:c>
      <x:c r="G63" s="5" t="str">
        <x:v>/embed/:id</x:v>
      </x:c>
      <x:c r="H63" s="5" t="str">
        <x:v>Code inferred</x:v>
      </x:c>
      <x:c r="I63" s="5" t="str">
        <x:v>High</x:v>
      </x:c>
      <x:c r="J63" s="5" t="str">
        <x:v>P1</x:v>
      </x:c>
      <x:c r="K63" s="5" t="str">
        <x:v>Pending</x:v>
      </x:c>
      <x:c r="L63" s="5" t="str"/>
      <x:c r="M63" s="5" t="str">
        <x:v>Not started</x:v>
      </x:c>
      <x:c r="N63" s="6" t="str"/>
      <x:c r="O63" s="6" t="str"/>
    </x:row>
    <x:row r="64" ht="51" customHeight="1">
      <x:c r="A64" s="5" t="str">
        <x:v>LOCAL-001</x:v>
      </x:c>
      <x:c r="B64" s="5" t="str">
        <x:v>Local Harness</x:v>
      </x:c>
      <x:c r="C64" s="5" t="str">
        <x:v>Local seed tour rendering</x:v>
      </x:c>
      <x:c r="D64" s="6" t="str">
        <x:v>As a developer, I want to preview seeded tours without backend upload.</x:v>
      </x:c>
      <x:c r="E64" s="6" t="str">
        <x:v>Local route loads seed_properties/:propertyId/tour.json, converts rooms/hotspots to app scenes, renders a local tour, and shows actionable errors when seed data is missing.</x:v>
      </x:c>
      <x:c r="F64" s="6" t="str">
        <x:v>src/pages/LocalTourPage.tsx; vite.config.ts</x:v>
      </x:c>
      <x:c r="G64" s="5" t="str">
        <x:v>/local/:propertyId</x:v>
      </x:c>
      <x:c r="H64" s="5" t="str">
        <x:v>Code inferred</x:v>
      </x:c>
      <x:c r="I64" s="5" t="str">
        <x:v>Medium</x:v>
      </x:c>
      <x:c r="J64" s="5" t="str">
        <x:v>P3</x:v>
      </x:c>
      <x:c r="K64" s="5" t="str">
        <x:v>Pending</x:v>
      </x:c>
      <x:c r="L64" s="5" t="str"/>
      <x:c r="M64" s="5" t="str">
        <x:v>Not started</x:v>
      </x:c>
      <x:c r="N64" s="6" t="str"/>
      <x:c r="O64" s="6" t="str"/>
    </x:row>
    <x:row r="65" ht="51" customHeight="1">
      <x:c r="A65" s="5" t="str">
        <x:v>LOCAL-002</x:v>
      </x:c>
      <x:c r="B65" s="5" t="str">
        <x:v>Local Harness</x:v>
      </x:c>
      <x:c r="C65" s="5" t="str">
        <x:v>Calibration mode</x:v>
      </x:c>
      <x:c r="D65" s="6" t="str">
        <x:v>As a developer, I want to capture yaw/pitch coordinates for seeded hotspots.</x:v>
      </x:c>
      <x:c r="E65" s="6" t="str">
        <x:v>Adding ?calibrate=1 enables click capture with on-screen yaw/pitch readout and console output while preserving navigation controls.</x:v>
      </x:c>
      <x:c r="F65" s="6" t="str">
        <x:v>src/pages/LocalTourPage.tsx</x:v>
      </x:c>
      <x:c r="G65" s="5" t="str">
        <x:v>/local/:propertyId?calibrate=1</x:v>
      </x:c>
      <x:c r="H65" s="5" t="str">
        <x:v>Code inferred</x:v>
      </x:c>
      <x:c r="I65" s="5" t="str">
        <x:v>Medium</x:v>
      </x:c>
      <x:c r="J65" s="5" t="str">
        <x:v>P3</x:v>
      </x:c>
      <x:c r="K65" s="5" t="str">
        <x:v>Pending</x:v>
      </x:c>
      <x:c r="L65" s="5" t="str"/>
      <x:c r="M65" s="5" t="str">
        <x:v>Not started</x:v>
      </x:c>
      <x:c r="N65" s="6" t="str"/>
      <x:c r="O65" s="6" t="str"/>
    </x:row>
    <x:row r="66" ht="51" customHeight="1">
      <x:c r="A66" s="5" t="str">
        <x:v>MEDIA-001</x:v>
      </x:c>
      <x:c r="B66" s="5" t="str">
        <x:v>Media Library</x:v>
      </x:c>
      <x:c r="C66" s="5" t="str">
        <x:v>Media search, type filter, pagination</x:v>
      </x:c>
      <x:c r="D66" s="6" t="str">
        <x:v>As a media manager, I want to find uploaded files quickly.</x:v>
      </x:c>
      <x:c r="E66" s="6" t="str">
        <x:v>Media library fetches cursor-paginated media, debounces search, filters by mime type, and clears selections when the page changes.</x:v>
      </x:c>
      <x:c r="F66" s="6" t="str">
        <x:v>src/pages/media/MediaLibraryPage.tsx; src/api/upload.ts</x:v>
      </x:c>
      <x:c r="G66" s="5" t="str">
        <x:v>/media</x:v>
      </x:c>
      <x:c r="H66" s="5" t="str">
        <x:v>Code inferred</x:v>
      </x:c>
      <x:c r="I66" s="5" t="str">
        <x:v>High</x:v>
      </x:c>
      <x:c r="J66" s="5" t="str">
        <x:v>P1</x:v>
      </x:c>
      <x:c r="K66" s="5" t="str">
        <x:v>Pending</x:v>
      </x:c>
      <x:c r="L66" s="5" t="str"/>
      <x:c r="M66" s="5" t="str">
        <x:v>Not started</x:v>
      </x:c>
      <x:c r="N66" s="6" t="str"/>
      <x:c r="O66" s="6" t="str"/>
    </x:row>
    <x:row r="67" ht="51" customHeight="1">
      <x:c r="A67" s="5" t="str">
        <x:v>MEDIA-002</x:v>
      </x:c>
      <x:c r="B67" s="5" t="str">
        <x:v>Media Library</x:v>
      </x:c>
      <x:c r="C67" s="5" t="str">
        <x:v>Grid/list preview and download</x:v>
      </x:c>
      <x:c r="D67" s="6" t="str">
        <x:v>As a media manager, I want to inspect and download files.</x:v>
      </x:c>
      <x:c r="E67" s="6" t="str">
        <x:v>Media can be browsed in grid or list mode; preview modal renders image/video/other file types and download links.</x:v>
      </x:c>
      <x:c r="F67" s="6" t="str">
        <x:v>src/pages/media/MediaLibraryPage.tsx</x:v>
      </x:c>
      <x:c r="G67" s="5" t="str">
        <x:v>/media</x:v>
      </x:c>
      <x:c r="H67" s="5" t="str">
        <x:v>Code inferred</x:v>
      </x:c>
      <x:c r="I67" s="5" t="str">
        <x:v>High</x:v>
      </x:c>
      <x:c r="J67" s="5" t="str">
        <x:v>P1</x:v>
      </x:c>
      <x:c r="K67" s="5" t="str">
        <x:v>Pending</x:v>
      </x:c>
      <x:c r="L67" s="5" t="str"/>
      <x:c r="M67" s="5" t="str">
        <x:v>Not started</x:v>
      </x:c>
      <x:c r="N67" s="6" t="str"/>
      <x:c r="O67" s="6" t="str"/>
    </x:row>
    <x:row r="68" ht="51" customHeight="1">
      <x:c r="A68" s="5" t="str">
        <x:v>MEDIA-003</x:v>
      </x:c>
      <x:c r="B68" s="5" t="str">
        <x:v>Media Library</x:v>
      </x:c>
      <x:c r="C68" s="5" t="str">
        <x:v>Bulk and single delete</x:v>
      </x:c>
      <x:c r="D68" s="6" t="str">
        <x:v>As a media manager, I want to delete one or many media files safely.</x:v>
      </x:c>
      <x:c r="E68" s="6" t="str">
        <x:v>Users can select individual/all visible files, bulk delete with confirmation, clear selection, or delete single items with confirmation and partial-failure handling.</x:v>
      </x:c>
      <x:c r="F68" s="6" t="str">
        <x:v>src/pages/media/MediaLibraryPage.tsx; src/api/upload.ts</x:v>
      </x:c>
      <x:c r="G68" s="5" t="str">
        <x:v>/media</x:v>
      </x:c>
      <x:c r="H68" s="5" t="str">
        <x:v>Code inferred</x:v>
      </x:c>
      <x:c r="I68" s="5" t="str">
        <x:v>High</x:v>
      </x:c>
      <x:c r="J68" s="5" t="str">
        <x:v>P1</x:v>
      </x:c>
      <x:c r="K68" s="5" t="str">
        <x:v>Pending</x:v>
      </x:c>
      <x:c r="L68" s="5" t="str"/>
      <x:c r="M68" s="5" t="str">
        <x:v>Not started</x:v>
      </x:c>
      <x:c r="N68" s="6" t="str"/>
      <x:c r="O68" s="6" t="str"/>
    </x:row>
    <x:row r="69" ht="51" customHeight="1">
      <x:c r="A69" s="5" t="str">
        <x:v>ANALYTICS-001</x:v>
      </x:c>
      <x:c r="B69" s="5" t="str">
        <x:v>Analytics</x:v>
      </x:c>
      <x:c r="C69" s="5" t="str">
        <x:v>Account analytics overview</x:v>
      </x:c>
      <x:c r="D69" s="6" t="str">
        <x:v>As an owner, I want a portfolio-level analytics overview.</x:v>
      </x:c>
      <x:c r="E69" s="6" t="str">
        <x:v>Analytics page loads overview stats, published tours, selected tour details, charts for daily views/device/countries/scenes, and loading/error/empty states.</x:v>
      </x:c>
      <x:c r="F69" s="6" t="str">
        <x:v>src/pages/analytics/AnalyticsPage.tsx; src/api/tours.ts</x:v>
      </x:c>
      <x:c r="G69" s="5" t="str">
        <x:v>/analytics</x:v>
      </x:c>
      <x:c r="H69" s="5" t="str">
        <x:v>Code inferred</x:v>
      </x:c>
      <x:c r="I69" s="5" t="str">
        <x:v>High</x:v>
      </x:c>
      <x:c r="J69" s="5" t="str">
        <x:v>P1</x:v>
      </x:c>
      <x:c r="K69" s="5" t="str">
        <x:v>Pending</x:v>
      </x:c>
      <x:c r="L69" s="5" t="str"/>
      <x:c r="M69" s="5" t="str">
        <x:v>Not started</x:v>
      </x:c>
      <x:c r="N69" s="6" t="str"/>
      <x:c r="O69" s="6" t="str"/>
    </x:row>
    <x:row r="70" ht="51" customHeight="1">
      <x:c r="A70" s="5" t="str">
        <x:v>ANALYTICS-002</x:v>
      </x:c>
      <x:c r="B70" s="5" t="str">
        <x:v>Analytics</x:v>
      </x:c>
      <x:c r="C70" s="5" t="str">
        <x:v>Published tour selector</x:v>
      </x:c>
      <x:c r="D70" s="6" t="str">
        <x:v>As an owner, I want to switch analytics between published tours.</x:v>
      </x:c>
      <x:c r="E70" s="6" t="str">
        <x:v>Analytics auto-selects the first published tour and updates selected tour charts/table when the selection changes.</x:v>
      </x:c>
      <x:c r="F70" s="6" t="str">
        <x:v>src/pages/analytics/AnalyticsPage.tsx</x:v>
      </x:c>
      <x:c r="G70" s="5" t="str">
        <x:v>/analytics</x:v>
      </x:c>
      <x:c r="H70" s="5" t="str">
        <x:v>Code inferred</x:v>
      </x:c>
      <x:c r="I70" s="5" t="str">
        <x:v>High</x:v>
      </x:c>
      <x:c r="J70" s="5" t="str">
        <x:v>P1</x:v>
      </x:c>
      <x:c r="K70" s="5" t="str">
        <x:v>Pending</x:v>
      </x:c>
      <x:c r="L70" s="5" t="str"/>
      <x:c r="M70" s="5" t="str">
        <x:v>Not started</x:v>
      </x:c>
      <x:c r="N70" s="6" t="str"/>
      <x:c r="O70" s="6" t="str"/>
    </x:row>
    <x:row r="71" ht="51" customHeight="1">
      <x:c r="A71" s="5" t="str">
        <x:v>ANALYTICS-003</x:v>
      </x:c>
      <x:c r="B71" s="5" t="str">
        <x:v>Analytics</x:v>
      </x:c>
      <x:c r="C71" s="5" t="str">
        <x:v>CSV export</x:v>
      </x:c>
      <x:c r="D71" s="6" t="str">
        <x:v>As an owner, I want to export analytics for reporting.</x:v>
      </x:c>
      <x:c r="E71" s="6" t="str">
        <x:v>Analytics export creates CSV from the selected dataset and gives success/error feedback.</x:v>
      </x:c>
      <x:c r="F71" s="6" t="str">
        <x:v>src/pages/analytics/AnalyticsPage.tsx; src/pages/tours/TourAnalyticsPage.tsx</x:v>
      </x:c>
      <x:c r="G71" s="5" t="str">
        <x:v>/analytics; /tours/:id/analytics</x:v>
      </x:c>
      <x:c r="H71" s="5" t="str">
        <x:v>Code inferred</x:v>
      </x:c>
      <x:c r="I71" s="5" t="str">
        <x:v>High</x:v>
      </x:c>
      <x:c r="J71" s="5" t="str">
        <x:v>P2</x:v>
      </x:c>
      <x:c r="K71" s="5" t="str">
        <x:v>Pending</x:v>
      </x:c>
      <x:c r="L71" s="5" t="str"/>
      <x:c r="M71" s="5" t="str">
        <x:v>Not started</x:v>
      </x:c>
      <x:c r="N71" s="6" t="str"/>
      <x:c r="O71" s="6" t="str"/>
    </x:row>
    <x:row r="72" ht="51" customHeight="1">
      <x:c r="A72" s="5" t="str">
        <x:v>ANALYTICS-004</x:v>
      </x:c>
      <x:c r="B72" s="5" t="str">
        <x:v>Analytics</x:v>
      </x:c>
      <x:c r="C72" s="5" t="str">
        <x:v>Per-tour analytics and date range</x:v>
      </x:c>
      <x:c r="D72" s="6" t="str">
        <x:v>As an owner, I want detailed analytics for one tour over a selected date range.</x:v>
      </x:c>
      <x:c r="E72" s="6" t="str">
        <x:v>Tour analytics loads tour/scenes/analytics for a date range, supports CSV/JSON export, and shows stats, daily views, device/country charts, scene performance, and hotspot engagement.</x:v>
      </x:c>
      <x:c r="F72" s="6" t="str">
        <x:v>src/pages/tours/TourAnalyticsPage.tsx; src/components/ui/DateRangePicker.tsx</x:v>
      </x:c>
      <x:c r="G72" s="5" t="str">
        <x:v>/tours/:id/analytics</x:v>
      </x:c>
      <x:c r="H72" s="5" t="str">
        <x:v>Code inferred</x:v>
      </x:c>
      <x:c r="I72" s="5" t="str">
        <x:v>High</x:v>
      </x:c>
      <x:c r="J72" s="5" t="str">
        <x:v>P1</x:v>
      </x:c>
      <x:c r="K72" s="5" t="str">
        <x:v>Pending</x:v>
      </x:c>
      <x:c r="L72" s="5" t="str"/>
      <x:c r="M72" s="5" t="str">
        <x:v>Not started</x:v>
      </x:c>
      <x:c r="N72" s="6" t="str"/>
      <x:c r="O72" s="6" t="str"/>
    </x:row>
    <x:row r="73" ht="51" customHeight="1">
      <x:c r="A73" s="5" t="str">
        <x:v>ANALYTICS-005</x:v>
      </x:c>
      <x:c r="B73" s="5" t="str">
        <x:v>Analytics</x:v>
      </x:c>
      <x:c r="C73" s="5" t="str">
        <x:v>Heatmap visualization</x:v>
      </x:c>
      <x:c r="D73" s="6" t="str">
        <x:v>As an owner, I want to understand interaction points in each scene.</x:v>
      </x:c>
      <x:c r="E73" s="6" t="str">
        <x:v>Tour analytics loads heatmap data, lets users choose a scene, and renders scatter activity plus metrics table with empty states.</x:v>
      </x:c>
      <x:c r="F73" s="6" t="str">
        <x:v>src/pages/tours/TourAnalyticsPage.tsx; src/api/tours.ts</x:v>
      </x:c>
      <x:c r="G73" s="5" t="str">
        <x:v>/tours/:id/analytics</x:v>
      </x:c>
      <x:c r="H73" s="5" t="str">
        <x:v>Code inferred</x:v>
      </x:c>
      <x:c r="I73" s="5" t="str">
        <x:v>Medium</x:v>
      </x:c>
      <x:c r="J73" s="5" t="str">
        <x:v>P2</x:v>
      </x:c>
      <x:c r="K73" s="5" t="str">
        <x:v>Pending</x:v>
      </x:c>
      <x:c r="L73" s="5" t="str"/>
      <x:c r="M73" s="5" t="str">
        <x:v>Not started</x:v>
      </x:c>
      <x:c r="N73" s="6" t="str"/>
      <x:c r="O73" s="6" t="str"/>
    </x:row>
    <x:row r="74" ht="51" customHeight="1">
      <x:c r="A74" s="5" t="str">
        <x:v>PROFILE-001</x:v>
      </x:c>
      <x:c r="B74" s="5" t="str">
        <x:v>Profile</x:v>
      </x:c>
      <x:c r="C74" s="5" t="str">
        <x:v>Profile editing</x:v>
      </x:c>
      <x:c r="D74" s="6" t="str">
        <x:v>As a user, I want to update my name and phone while viewing account status.</x:v>
      </x:c>
      <x:c r="E74" s="6" t="str">
        <x:v>Profile page edits full name and phone, keeps email read-only, shows role/status badges, disables save until dirty, and updates user data.</x:v>
      </x:c>
      <x:c r="F74" s="6" t="str">
        <x:v>src/pages/profile/ProfilePage.tsx; src/api/users.ts</x:v>
      </x:c>
      <x:c r="G74" s="5" t="str">
        <x:v>/profile</x:v>
      </x:c>
      <x:c r="H74" s="5" t="str">
        <x:v>Code inferred</x:v>
      </x:c>
      <x:c r="I74" s="5" t="str">
        <x:v>High</x:v>
      </x:c>
      <x:c r="J74" s="5" t="str">
        <x:v>P1</x:v>
      </x:c>
      <x:c r="K74" s="5" t="str">
        <x:v>Pending</x:v>
      </x:c>
      <x:c r="L74" s="5" t="str"/>
      <x:c r="M74" s="5" t="str">
        <x:v>Not started</x:v>
      </x:c>
      <x:c r="N74" s="6" t="str"/>
      <x:c r="O74" s="6" t="str"/>
    </x:row>
    <x:row r="75" ht="51" customHeight="1">
      <x:c r="A75" s="5" t="str">
        <x:v>PROFILE-002</x:v>
      </x:c>
      <x:c r="B75" s="5" t="str">
        <x:v>Profile</x:v>
      </x:c>
      <x:c r="C75" s="5" t="str">
        <x:v>Avatar upload</x:v>
      </x:c>
      <x:c r="D75" s="6" t="str">
        <x:v>As a user, I want to upload a profile photo.</x:v>
      </x:c>
      <x:c r="E75" s="6" t="str">
        <x:v>Avatar upload sends selected image to user API, shows loading overlay, updates preview, and handles errors.</x:v>
      </x:c>
      <x:c r="F75" s="6" t="str">
        <x:v>src/pages/profile/ProfilePage.tsx; src/api/users.ts</x:v>
      </x:c>
      <x:c r="G75" s="5" t="str">
        <x:v>/profile</x:v>
      </x:c>
      <x:c r="H75" s="5" t="str">
        <x:v>Code inferred</x:v>
      </x:c>
      <x:c r="I75" s="5" t="str">
        <x:v>High</x:v>
      </x:c>
      <x:c r="J75" s="5" t="str">
        <x:v>P2</x:v>
      </x:c>
      <x:c r="K75" s="5" t="str">
        <x:v>Pending</x:v>
      </x:c>
      <x:c r="L75" s="5" t="str"/>
      <x:c r="M75" s="5" t="str">
        <x:v>Not started</x:v>
      </x:c>
      <x:c r="N75" s="6" t="str"/>
      <x:c r="O75" s="6" t="str"/>
    </x:row>
    <x:row r="76" ht="51" customHeight="1">
      <x:c r="A76" s="5" t="str">
        <x:v>SETTINGS-001</x:v>
      </x:c>
      <x:c r="B76" s="5" t="str">
        <x:v>Settings</x:v>
      </x:c>
      <x:c r="C76" s="5" t="str">
        <x:v>Theme preference</x:v>
      </x:c>
      <x:c r="D76" s="6" t="str">
        <x:v>As a user, I want to choose light, dark, or system theme.</x:v>
      </x:c>
      <x:c r="E76" s="6" t="str">
        <x:v>Settings updates the persisted UI theme and applies it immediately, including system preference listeners.</x:v>
      </x:c>
      <x:c r="F76" s="6" t="str">
        <x:v>src/pages/settings/SettingsPage.tsx; src/stores/uiStore.ts</x:v>
      </x:c>
      <x:c r="G76" s="5" t="str">
        <x:v>/settings</x:v>
      </x:c>
      <x:c r="H76" s="5" t="str">
        <x:v>Code inferred</x:v>
      </x:c>
      <x:c r="I76" s="5" t="str">
        <x:v>High</x:v>
      </x:c>
      <x:c r="J76" s="5" t="str">
        <x:v>P1</x:v>
      </x:c>
      <x:c r="K76" s="5" t="str">
        <x:v>Pending</x:v>
      </x:c>
      <x:c r="L76" s="5" t="str"/>
      <x:c r="M76" s="5" t="str">
        <x:v>Not started</x:v>
      </x:c>
      <x:c r="N76" s="6" t="str"/>
      <x:c r="O76" s="6" t="str"/>
    </x:row>
    <x:row r="77" ht="51" customHeight="1">
      <x:c r="A77" s="5" t="str">
        <x:v>SETTINGS-002</x:v>
      </x:c>
      <x:c r="B77" s="5" t="str">
        <x:v>Settings</x:v>
      </x:c>
      <x:c r="C77" s="5" t="str">
        <x:v>Notification preferences</x:v>
      </x:c>
      <x:c r="D77" s="6" t="str">
        <x:v>As a user, I want notification preferences to save automatically.</x:v>
      </x:c>
      <x:c r="E77" s="6" t="str">
        <x:v>Notification toggles update local settings state and show autosave-style behavior.</x:v>
      </x:c>
      <x:c r="F77" s="6" t="str">
        <x:v>src/pages/settings/SettingsPage.tsx</x:v>
      </x:c>
      <x:c r="G77" s="5" t="str">
        <x:v>/settings</x:v>
      </x:c>
      <x:c r="H77" s="5" t="str">
        <x:v>Code inferred</x:v>
      </x:c>
      <x:c r="I77" s="5" t="str">
        <x:v>Medium</x:v>
      </x:c>
      <x:c r="J77" s="5" t="str">
        <x:v>P2</x:v>
      </x:c>
      <x:c r="K77" s="5" t="str">
        <x:v>Pending</x:v>
      </x:c>
      <x:c r="L77" s="5" t="str"/>
      <x:c r="M77" s="5" t="str">
        <x:v>Not started</x:v>
      </x:c>
      <x:c r="N77" s="6" t="str"/>
      <x:c r="O77" s="6" t="str"/>
    </x:row>
    <x:row r="78" ht="51" customHeight="1">
      <x:c r="A78" s="5" t="str">
        <x:v>SETTINGS-003</x:v>
      </x:c>
      <x:c r="B78" s="5" t="str">
        <x:v>Settings</x:v>
      </x:c>
      <x:c r="C78" s="5" t="str">
        <x:v>Password change</x:v>
      </x:c>
      <x:c r="D78" s="6" t="str">
        <x:v>As a user, I want to change my password securely.</x:v>
      </x:c>
      <x:c r="E78" s="6" t="str">
        <x:v>Settings requires current password, new password, confirmation match, supports show/hide controls, and calls re-authentication plus update password.</x:v>
      </x:c>
      <x:c r="F78" s="6" t="str">
        <x:v>src/pages/settings/SettingsPage.tsx; src/api/auth.ts</x:v>
      </x:c>
      <x:c r="G78" s="5" t="str">
        <x:v>/settings</x:v>
      </x:c>
      <x:c r="H78" s="5" t="str">
        <x:v>Code inferred</x:v>
      </x:c>
      <x:c r="I78" s="5" t="str">
        <x:v>High</x:v>
      </x:c>
      <x:c r="J78" s="5" t="str">
        <x:v>P1</x:v>
      </x:c>
      <x:c r="K78" s="5" t="str">
        <x:v>Pending</x:v>
      </x:c>
      <x:c r="L78" s="5" t="str"/>
      <x:c r="M78" s="5" t="str">
        <x:v>Not started</x:v>
      </x:c>
      <x:c r="N78" s="6" t="str"/>
      <x:c r="O78" s="6" t="str"/>
    </x:row>
    <x:row r="79" ht="51" customHeight="1">
      <x:c r="A79" s="5" t="str">
        <x:v>SETTINGS-004</x:v>
      </x:c>
      <x:c r="B79" s="5" t="str">
        <x:v>Settings</x:v>
      </x:c>
      <x:c r="C79" s="5" t="str">
        <x:v>Account deletion guidance</x:v>
      </x:c>
      <x:c r="D79" s="6" t="str">
        <x:v>As a user, I want to understand how account deletion works.</x:v>
      </x:c>
      <x:c r="E79" s="6" t="str">
        <x:v>Delete account area communicates that users must contact support rather than offering an unsafe client-only destructive action.</x:v>
      </x:c>
      <x:c r="F79" s="6" t="str">
        <x:v>src/pages/settings/SettingsPage.tsx</x:v>
      </x:c>
      <x:c r="G79" s="5" t="str">
        <x:v>/settings</x:v>
      </x:c>
      <x:c r="H79" s="5" t="str">
        <x:v>Code inferred</x:v>
      </x:c>
      <x:c r="I79" s="5" t="str">
        <x:v>Medium</x:v>
      </x:c>
      <x:c r="J79" s="5" t="str">
        <x:v>P3</x:v>
      </x:c>
      <x:c r="K79" s="5" t="str">
        <x:v>Pending</x:v>
      </x:c>
      <x:c r="L79" s="5" t="str"/>
      <x:c r="M79" s="5" t="str">
        <x:v>Not started</x:v>
      </x:c>
      <x:c r="N79" s="6" t="str"/>
      <x:c r="O79" s="6" t="str"/>
    </x:row>
    <x:row r="80" ht="51" customHeight="1">
      <x:c r="A80" s="5" t="str">
        <x:v>API-001</x:v>
      </x:c>
      <x:c r="B80" s="5" t="str">
        <x:v>API Contracts</x:v>
      </x:c>
      <x:c r="C80" s="5" t="str">
        <x:v>Tour and scene API coverage</x:v>
      </x:c>
      <x:c r="D80" s="6" t="str">
        <x:v>As the frontend, I need typed API clients for tour, scene, hotspot, public viewer, floor plan, and analytics operations.</x:v>
      </x:c>
      <x:c r="E80" s="6" t="str">
        <x:v>Tour API exposes CRUD, publish/unpublish, duplicate, scenes, hotspots, public views/events/likes, floor plans, dashboard stats, analytics, realtime metrics, and heatmaps.</x:v>
      </x:c>
      <x:c r="F80" s="6" t="str">
        <x:v>src/api/tours.ts; src/types/index.ts</x:v>
      </x:c>
      <x:c r="G80" s="5" t="str">
        <x:v>API layer</x:v>
      </x:c>
      <x:c r="H80" s="5" t="str">
        <x:v>Tested - pass</x:v>
      </x:c>
      <x:c r="I80" s="5" t="str">
        <x:v>High</x:v>
      </x:c>
      <x:c r="J80" s="5" t="str">
        <x:v>P0</x:v>
      </x:c>
      <x:c r="K80" s="5" t="str">
        <x:v>Automated pass</x:v>
      </x:c>
      <x:c r="L80" s="5" t="str"/>
      <x:c r="M80" s="5" t="str">
        <x:v>Not needed</x:v>
      </x:c>
      <x:c r="N80" s="6" t="str">
        <x:v>src/test/api/toursContract.test.ts; src/test/integration/api.test.tsx</x:v>
      </x:c>
      <x:c r="O80" s="6" t="str">
        <x:v>Tour API contract and selected integration behavior are covered by the automated suite.</x:v>
      </x:c>
    </x:row>
    <x:row r="81" ht="51" customHeight="1">
      <x:c r="A81" s="5" t="str">
        <x:v>API-002</x:v>
      </x:c>
      <x:c r="B81" s="5" t="str">
        <x:v>API Contracts</x:v>
      </x:c>
      <x:c r="C81" s="5" t="str">
        <x:v>Upload API coverage</x:v>
      </x:c>
      <x:c r="D81" s="6" t="str">
        <x:v>As the frontend, I need upload APIs for files and media-library operations.</x:v>
      </x:c>
      <x:c r="E81" s="6" t="str">
        <x:v>Upload API uploads single/batch files with progress, lists media with cursor params, deletes single media, and bulk-deletes with partial failure reporting.</x:v>
      </x:c>
      <x:c r="F81" s="6" t="str">
        <x:v>src/api/upload.ts; src/types/index.ts</x:v>
      </x:c>
      <x:c r="G81" s="5" t="str">
        <x:v>API layer</x:v>
      </x:c>
      <x:c r="H81" s="5" t="str">
        <x:v>Code inferred</x:v>
      </x:c>
      <x:c r="I81" s="5" t="str">
        <x:v>High</x:v>
      </x:c>
      <x:c r="J81" s="5" t="str">
        <x:v>P0</x:v>
      </x:c>
      <x:c r="K81" s="5" t="str">
        <x:v>Pending</x:v>
      </x:c>
      <x:c r="L81" s="5" t="str"/>
      <x:c r="M81" s="5" t="str">
        <x:v>Not started</x:v>
      </x:c>
      <x:c r="N81" s="6" t="str"/>
      <x:c r="O81" s="6" t="str"/>
    </x:row>
    <x:row r="82" ht="51" customHeight="1">
      <x:c r="A82" s="5" t="str">
        <x:v>API-003</x:v>
      </x:c>
      <x:c r="B82" s="5" t="str">
        <x:v>API Contracts</x:v>
      </x:c>
      <x:c r="C82" s="5" t="str">
        <x:v>AI API coverage</x:v>
      </x:c>
      <x:c r="D82" s="6" t="str">
        <x:v>As the frontend, I need AI job APIs for generation, analysis, descriptions, hotspots, reels, job status, and cancellation.</x:v>
      </x:c>
      <x:c r="E82" s="6" t="str">
        <x:v>AI API starts jobs, uploads inputs where needed, polls status, cancels jobs, lists jobs, and applies suggestions.</x:v>
      </x:c>
      <x:c r="F82" s="6" t="str">
        <x:v>src/api/ai.ts; src/hooks/useAIJobWebSocket.ts</x:v>
      </x:c>
      <x:c r="G82" s="5" t="str">
        <x:v>API layer</x:v>
      </x:c>
      <x:c r="H82" s="5" t="str">
        <x:v>Code inferred</x:v>
      </x:c>
      <x:c r="I82" s="5" t="str">
        <x:v>High</x:v>
      </x:c>
      <x:c r="J82" s="5" t="str">
        <x:v>P1</x:v>
      </x:c>
      <x:c r="K82" s="5" t="str">
        <x:v>Pending</x:v>
      </x:c>
      <x:c r="L82" s="5" t="str"/>
      <x:c r="M82" s="5" t="str">
        <x:v>Not started</x:v>
      </x:c>
      <x:c r="N82" s="6" t="str"/>
      <x:c r="O82" s="6" t="str"/>
    </x:row>
    <x:row r="83" ht="51" customHeight="1">
      <x:c r="A83" s="5" t="str">
        <x:v>API-004</x:v>
      </x:c>
      <x:c r="B83" s="5" t="str">
        <x:v>API Contracts</x:v>
      </x:c>
      <x:c r="C83" s="5" t="str">
        <x:v>Collaboration API coverage</x:v>
      </x:c>
      <x:c r="D83" s="6" t="str">
        <x:v>As the frontend, I need activity and collaborator APIs for tour teamwork.</x:v>
      </x:c>
      <x:c r="E83" s="6" t="str">
        <x:v>Collaboration API fetches activities/collaborators and invites/removes collaborators through the collaboration store.</x:v>
      </x:c>
      <x:c r="F83" s="6" t="str">
        <x:v>src/api/collaboration.ts; src/stores/collaborationStore.ts</x:v>
      </x:c>
      <x:c r="G83" s="5" t="str">
        <x:v>API layer</x:v>
      </x:c>
      <x:c r="H83" s="5" t="str">
        <x:v>Code inferred</x:v>
      </x:c>
      <x:c r="I83" s="5" t="str">
        <x:v>Medium</x:v>
      </x:c>
      <x:c r="J83" s="5" t="str">
        <x:v>P2</x:v>
      </x:c>
      <x:c r="K83" s="5" t="str">
        <x:v>Pending</x:v>
      </x:c>
      <x:c r="L83" s="5" t="str"/>
      <x:c r="M83" s="5" t="str">
        <x:v>Not started</x:v>
      </x:c>
      <x:c r="N83" s="6" t="str"/>
      <x:c r="O83" s="6" t="str"/>
    </x:row>
    <x:row r="84" ht="51" customHeight="1">
      <x:c r="A84" s="5" t="str">
        <x:v>UTIL-001</x:v>
      </x:c>
      <x:c r="B84" s="5" t="str">
        <x:v>Utilities</x:v>
      </x:c>
      <x:c r="C84" s="5" t="str">
        <x:v>Validation utilities</x:v>
      </x:c>
      <x:c r="D84" s="6" t="str">
        <x:v>As the app, I need shared validation so forms and uploads reject bad input consistently.</x:v>
      </x:c>
      <x:c r="E84" s="6" t="str">
        <x:v>Validation helpers check image files, phone/email/password-like inputs, and surface user-friendly messages.</x:v>
      </x:c>
      <x:c r="F84" s="6" t="str">
        <x:v>src/utils/validation.ts</x:v>
      </x:c>
      <x:c r="G84" s="5" t="str">
        <x:v>Shared utilities</x:v>
      </x:c>
      <x:c r="H84" s="5" t="str">
        <x:v>Tested - pass</x:v>
      </x:c>
      <x:c r="I84" s="5" t="str">
        <x:v>High</x:v>
      </x:c>
      <x:c r="J84" s="5" t="str">
        <x:v>P1</x:v>
      </x:c>
      <x:c r="K84" s="5" t="str">
        <x:v>Automated pass</x:v>
      </x:c>
      <x:c r="L84" s="5" t="str"/>
      <x:c r="M84" s="5" t="str">
        <x:v>Not needed</x:v>
      </x:c>
      <x:c r="N84" s="6" t="str">
        <x:v>src/test/utils/validation.test.ts</x:v>
      </x:c>
      <x:c r="O84" s="6" t="str">
        <x:v>Validation tests cover image/file limits, phone/email/password-like inputs, schemas, and edge cases.</x:v>
      </x:c>
    </x:row>
    <x:row r="85" ht="51" customHeight="1">
      <x:c r="A85" s="5" t="str">
        <x:v>UTIL-002</x:v>
      </x:c>
      <x:c r="B85" s="5" t="str">
        <x:v>Utilities</x:v>
      </x:c>
      <x:c r="C85" s="5" t="str">
        <x:v>Embed and URL utilities</x:v>
      </x:c>
      <x:c r="D85" s="6" t="str">
        <x:v>As the app, I need generated links and embeds to be consistent and safe.</x:v>
      </x:c>
      <x:c r="E85" s="6" t="str">
        <x:v>Embed code builder and URL helpers produce share/embed URLs and iframe options used by settings/share flows.</x:v>
      </x:c>
      <x:c r="F85" s="6" t="str">
        <x:v>src/utils/embedCode.ts; src/utils/url.ts</x:v>
      </x:c>
      <x:c r="G85" s="5" t="str">
        <x:v>Shared utilities</x:v>
      </x:c>
      <x:c r="H85" s="5" t="str">
        <x:v>Tested - pass</x:v>
      </x:c>
      <x:c r="I85" s="5" t="str">
        <x:v>High</x:v>
      </x:c>
      <x:c r="J85" s="5" t="str">
        <x:v>P1</x:v>
      </x:c>
      <x:c r="K85" s="5" t="str">
        <x:v>Automated pass</x:v>
      </x:c>
      <x:c r="L85" s="5" t="str"/>
      <x:c r="M85" s="5" t="str">
        <x:v>Not needed</x:v>
      </x:c>
      <x:c r="N85" s="6" t="str">
        <x:v>src/test/utils/embedCode.test.ts</x:v>
      </x:c>
      <x:c r="O85" s="6" t="str">
        <x:v>Embed/link generation behavior is covered by unit tests.</x:v>
      </x:c>
    </x:row>
    <x:row r="86" ht="51" customHeight="1">
      <x:c r="A86" s="5" t="str">
        <x:v>UTIL-003</x:v>
      </x:c>
      <x:c r="B86" s="5" t="str">
        <x:v>Utilities</x:v>
      </x:c>
      <x:c r="C86" s="5" t="str">
        <x:v>Video URL parsing</x:v>
      </x:c>
      <x:c r="D86" s="6" t="str">
        <x:v>As the app, I need external video links to render correctly.</x:v>
      </x:c>
      <x:c r="E86" s="6" t="str">
        <x:v>Video utilities parse YouTube/Vimeo/raw URLs and build embed URLs with autoplay options for video hotspots.</x:v>
      </x:c>
      <x:c r="F86" s="6" t="str">
        <x:v>src/utils/videoUrl.ts; src/components/features/HotspotContentModal.tsx</x:v>
      </x:c>
      <x:c r="G86" s="5" t="str">
        <x:v>Shared utilities</x:v>
      </x:c>
      <x:c r="H86" s="5" t="str">
        <x:v>Code inferred</x:v>
      </x:c>
      <x:c r="I86" s="5" t="str">
        <x:v>High</x:v>
      </x:c>
      <x:c r="J86" s="5" t="str">
        <x:v>P2</x:v>
      </x:c>
      <x:c r="K86" s="5" t="str">
        <x:v>Pending</x:v>
      </x:c>
      <x:c r="L86" s="5" t="str"/>
      <x:c r="M86" s="5" t="str">
        <x:v>Not started</x:v>
      </x:c>
      <x:c r="N86" s="6" t="str"/>
      <x:c r="O86" s="6" t="str"/>
    </x:row>
    <x:row r="87" ht="51" customHeight="1">
      <x:c r="A87" s="5" t="str">
        <x:v>UTIL-004</x:v>
      </x:c>
      <x:c r="B87" s="5" t="str">
        <x:v>Utilities</x:v>
      </x:c>
      <x:c r="C87" s="5" t="str">
        <x:v>Formatting utilities</x:v>
      </x:c>
      <x:c r="D87" s="6" t="str">
        <x:v>As the app, I need consistent display for dates, bytes, durations, and server timestamps.</x:v>
      </x:c>
      <x:c r="E87" s="6" t="str">
        <x:v>Formatting helpers normalize display values and parse server timestamps for activity/analytics views.</x:v>
      </x:c>
      <x:c r="F87" s="6" t="str">
        <x:v>src/utils/format.ts</x:v>
      </x:c>
      <x:c r="G87" s="5" t="str">
        <x:v>Shared utilities</x:v>
      </x:c>
      <x:c r="H87" s="5" t="str">
        <x:v>Tested - pass</x:v>
      </x:c>
      <x:c r="I87" s="5" t="str">
        <x:v>High</x:v>
      </x:c>
      <x:c r="J87" s="5" t="str">
        <x:v>P2</x:v>
      </x:c>
      <x:c r="K87" s="5" t="str">
        <x:v>Automated pass</x:v>
      </x:c>
      <x:c r="L87" s="5" t="str"/>
      <x:c r="M87" s="5" t="str">
        <x:v>Not needed</x:v>
      </x:c>
      <x:c r="N87" s="6" t="str">
        <x:v>src/test/utils/format.test.ts</x:v>
      </x:c>
      <x:c r="O87" s="6" t="str">
        <x:v>Date-only formatting and display helper behavior are covered by unit tests.</x:v>
      </x:c>
    </x:row>
    <x:row r="88" ht="51" customHeight="1">
      <x:c r="A88" s="5" t="str">
        <x:v>UTIL-005</x:v>
      </x:c>
      <x:c r="B88" s="5" t="str">
        <x:v>Utilities</x:v>
      </x:c>
      <x:c r="C88" s="5" t="str">
        <x:v>QR code generation</x:v>
      </x:c>
      <x:c r="D88" s="6" t="str">
        <x:v>As the app, I need share QR codes that can be displayed and downloaded.</x:v>
      </x:c>
      <x:c r="E88" s="6" t="str">
        <x:v>QR utility creates QR data for the share modal and supports PNG/SVG download flows.</x:v>
      </x:c>
      <x:c r="F88" s="6" t="str">
        <x:v>src/utils/qrCode.ts; src/components/features/ShareModal.tsx</x:v>
      </x:c>
      <x:c r="G88" s="5" t="str">
        <x:v>Shared utilities</x:v>
      </x:c>
      <x:c r="H88" s="5" t="str">
        <x:v>Code inferred</x:v>
      </x:c>
      <x:c r="I88" s="5" t="str">
        <x:v>Medium</x:v>
      </x:c>
      <x:c r="J88" s="5" t="str">
        <x:v>P2</x:v>
      </x:c>
      <x:c r="K88" s="5" t="str">
        <x:v>Pending</x:v>
      </x:c>
      <x:c r="L88" s="5" t="str"/>
      <x:c r="M88" s="5" t="str">
        <x:v>Not started</x:v>
      </x:c>
      <x:c r="N88" s="6" t="str"/>
      <x:c r="O88" s="6" t="str"/>
    </x:row>
  </x:sheetData>
  <x:dataValidations count="3">
    <x:dataValidation type="list" sqref="H2:H88">
      <x:formula1>"Code inferred,Tested - pass,Tested - issues found,Fixed - needs retest,Retested - pass,Blocked,Backlog / unlinked"</x:formula1>
    </x:dataValidation>
    <x:dataValidation type="list" sqref="K2:K88">
      <x:formula1>"Pending,Manual pass,Automated pass,Failing,Blocked,Needs coverage"</x:formula1>
    </x:dataValidation>
    <x:dataValidation type="list" sqref="M2:M88">
      <x:formula1>"Not started,Not needed,In progress,Fixed,Retested,Deferred"</x:formula1>
    </x:dataValidation>
  </x:dataValidations>
  <x:pageMargins left="0.7" right="0.7" top="0.75" bottom="0.75" header="0.3" footer="0.3"/>
  <x:tableParts count="1">
    <x:tablePart xmlns:r="http://schemas.openxmlformats.org/officeDocument/2006/relationships" r:id="Rfd82da9e93014ff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8.329999923706055" hidden="0" customWidth="1"/>
    <x:col min="3" max="3" width="24.440000534057617" hidden="0" customWidth="1"/>
    <x:col min="4" max="4" width="16.670000076293945" hidden="0" customWidth="1"/>
    <x:col min="5" max="5" width="57.779998779296875" hidden="0" customWidth="1"/>
    <x:col min="6" max="6" width="36.66999816894531" hidden="0" customWidth="1"/>
    <x:col min="7" max="7" width="12.220000267028809" hidden="0" customWidth="1"/>
  </x:cols>
  <x:sheetData>
    <x:row r="1">
      <x:c r="A1" s="3" t="str">
        <x:v>Test ID</x:v>
      </x:c>
      <x:c r="B1" s="3" t="str">
        <x:v>Stories covered</x:v>
      </x:c>
      <x:c r="C1" s="3" t="str">
        <x:v>Behavior group</x:v>
      </x:c>
      <x:c r="D1" s="3" t="str">
        <x:v>Test level</x:v>
      </x:c>
      <x:c r="E1" s="3" t="str">
        <x:v>Key edge cases</x:v>
      </x:c>
      <x:c r="F1" s="3" t="str">
        <x:v>Planned file</x:v>
      </x:c>
      <x:c r="G1" s="3" t="str">
        <x:v>Status</x:v>
      </x:c>
    </x:row>
    <x:row r="2" ht="46.5" customHeight="1">
      <x:c r="A2" s="1" t="str">
        <x:v>TC-AUTH-001</x:v>
      </x:c>
      <x:c r="B2" s="1" t="str">
        <x:v>AUTH-001..AUTH-008</x:v>
      </x:c>
      <x:c r="C2" s="1" t="str">
        <x:v>Authentication state-machine</x:v>
      </x:c>
      <x:c r="D2" s="1" t="str">
        <x:v>Unit + integration</x:v>
      </x:c>
      <x:c r="E2" s="4" t="str">
        <x:v>Channel selection, last method restore, identifier status branches, OTP resend, password setup, callback role gate, transient auth failures, expired sessions.</x:v>
      </x:c>
      <x:c r="F2" s="4" t="str">
        <x:v>e2e/auth.spec.ts; src/test/stores/authStore.test.ts; src/test/api/client.test.ts</x:v>
      </x:c>
      <x:c r="G2" s="1" t="str">
        <x:v>Automated partial</x:v>
      </x:c>
    </x:row>
    <x:row r="3" ht="46.5" customHeight="1">
      <x:c r="A3" s="1" t="str">
        <x:v>TC-APP-001</x:v>
      </x:c>
      <x:c r="B3" s="1" t="str">
        <x:v>APP-001..APP-005</x:v>
      </x:c>
      <x:c r="C3" s="1" t="str">
        <x:v>App shell and layout</x:v>
      </x:c>
      <x:c r="D3" s="1" t="str">
        <x:v>Unit + integration</x:v>
      </x:c>
      <x:c r="E3" s="4" t="str">
        <x:v>Auth initialization loading, protected redirect, theme persistence/system listener, global error/offline/toast/confirm behavior.</x:v>
      </x:c>
      <x:c r="F3" s="4" t="str">
        <x:v>src/test/stores/uiStore.test.ts; src/test/components/OfflineIndicator.test.tsx; src/test/user-behaviors/editor/upload-confirmations.test.tsx</x:v>
      </x:c>
      <x:c r="G3" s="1" t="str">
        <x:v>Automated partial</x:v>
      </x:c>
    </x:row>
    <x:row r="4" ht="46.5" customHeight="1">
      <x:c r="A4" s="1" t="str">
        <x:v>TC-LAND-001</x:v>
      </x:c>
      <x:c r="B4" s="1" t="str">
        <x:v>LAND-001..LAND-002</x:v>
      </x:c>
      <x:c r="C4" s="1" t="str">
        <x:v>Landing and public marketing</x:v>
      </x:c>
      <x:c r="D4" s="1" t="str">
        <x:v>Playwright smoke</x:v>
      </x:c>
      <x:c r="E4" s="4" t="str">
        <x:v>Home render, title/meta, login/register links, responsive breakpoints, no page-load console errors, authenticated-root redirect gap documented.</x:v>
      </x:c>
      <x:c r="F4" s="4" t="str">
        <x:v>e2e/landing.spec.ts; e2e/performance.spec.ts</x:v>
      </x:c>
      <x:c r="G4" s="1" t="str">
        <x:v>Automated pass</x:v>
      </x:c>
    </x:row>
    <x:row r="5" ht="46.5" customHeight="1">
      <x:c r="A5" s="1" t="str">
        <x:v>TC-DASH-001</x:v>
      </x:c>
      <x:c r="B5" s="1" t="str">
        <x:v>DASH-001..DASH-002</x:v>
      </x:c>
      <x:c r="C5" s="1" t="str">
        <x:v>Dashboard overview</x:v>
      </x:c>
      <x:c r="D5" s="1" t="str">
        <x:v>Integration</x:v>
      </x:c>
      <x:c r="E5" s="4" t="str">
        <x:v>Stats loading/error/retry, recent tours empty/populated states, realtime daily views, storage progress, create/open-tour launch points.</x:v>
      </x:c>
      <x:c r="F5" s="4" t="str">
        <x:v>src/test/user-behaviors/dashboard/dashboard.test.tsx</x:v>
      </x:c>
      <x:c r="G5" s="1" t="str">
        <x:v>Planned</x:v>
      </x:c>
    </x:row>
    <x:row r="6" ht="46.5" customHeight="1">
      <x:c r="A6" s="1" t="str">
        <x:v>TC-TOURS-001</x:v>
      </x:c>
      <x:c r="B6" s="1" t="str">
        <x:v>TOURS-001..TOURS-005</x:v>
      </x:c>
      <x:c r="C6" s="1" t="str">
        <x:v>Tours management</x:v>
      </x:c>
      <x:c r="D6" s="1" t="str">
        <x:v>Integration</x:v>
      </x:c>
      <x:c r="E6" s="4" t="str">
        <x:v>Search debounce, status filter, cursor pagination, view mode, duplicate/archive/delete confirmation, draft/published link states.</x:v>
      </x:c>
      <x:c r="F6" s="4" t="str">
        <x:v>src/test/user-behaviors/tours/tour-management.test.tsx</x:v>
      </x:c>
      <x:c r="G6" s="1" t="str">
        <x:v>Planned</x:v>
      </x:c>
    </x:row>
    <x:row r="7" ht="46.5" customHeight="1">
      <x:c r="A7" s="1" t="str">
        <x:v>TC-CREATE-001</x:v>
      </x:c>
      <x:c r="B7" s="1" t="str">
        <x:v>CREATE-001..CREATE-004</x:v>
      </x:c>
      <x:c r="C7" s="1" t="str">
        <x:v>Tour creation</x:v>
      </x:c>
      <x:c r="D7" s="1" t="str">
        <x:v>Integration</x:v>
      </x:c>
      <x:c r="E7" s="4" t="str">
        <x:v>Required title, draft creation, file validation, upload progress, scene creation, AI wizard limits/errors, skip later.</x:v>
      </x:c>
      <x:c r="F7" s="4" t="str">
        <x:v>src/test/user-behaviors/tours/tour-creation.test.tsx</x:v>
      </x:c>
      <x:c r="G7" s="1" t="str">
        <x:v>Planned</x:v>
      </x:c>
    </x:row>
    <x:row r="8" ht="46.5" customHeight="1">
      <x:c r="A8" s="1" t="str">
        <x:v>TC-EDIT-001</x:v>
      </x:c>
      <x:c r="B8" s="1" t="str">
        <x:v>EDIT-001..EDIT-017</x:v>
      </x:c>
      <x:c r="C8" s="1" t="str">
        <x:v>Core editor workflows</x:v>
      </x:c>
      <x:c r="D8" s="1" t="str">
        <x:v>Integration + component</x:v>
      </x:c>
      <x:c r="E8" s="4" t="str">
        <x:v>Load states, unsaved blocking, save/undo/redo, scene upload/reorder/delete, hotspot placement/editor, settings/share/branding/floor plans.</x:v>
      </x:c>
      <x:c r="F8" s="4" t="str">
        <x:v>src/test/user-behaviors/editor/floor-plan-editor.test.tsx; src/test/user-behaviors/editor/upload-confirmations.test.tsx; src/test/components/PanoramaViewer.test.tsx</x:v>
      </x:c>
      <x:c r="G8" s="1" t="str">
        <x:v>Automated partial</x:v>
      </x:c>
    </x:row>
    <x:row r="9" ht="46.5" customHeight="1">
      <x:c r="A9" s="1" t="str">
        <x:v>TC-AI-001</x:v>
      </x:c>
      <x:c r="B9" s="1" t="str">
        <x:v>EDIT-018..EDIT-021; API-003</x:v>
      </x:c>
      <x:c r="C9" s="1" t="str">
        <x:v>AI workflows</x:v>
      </x:c>
      <x:c r="D9" s="1" t="str">
        <x:v>Integration + unit</x:v>
      </x:c>
      <x:c r="E9" s="4" t="str">
        <x:v>AI job start, WebSocket/poll fallback, cancel, retry, apply scene analysis/descriptions/hotspots, reel configure/progress/done/error.</x:v>
      </x:c>
      <x:c r="F9" s="4" t="str">
        <x:v>src/test/user-behaviors/editor/scene-analysis.test.tsx</x:v>
      </x:c>
      <x:c r="G9" s="1" t="str">
        <x:v>Automated partial</x:v>
      </x:c>
    </x:row>
    <x:row r="10" ht="46.5" customHeight="1">
      <x:c r="A10" s="1" t="str">
        <x:v>TC-VIEW-001</x:v>
      </x:c>
      <x:c r="B10" s="1" t="str">
        <x:v>VIEW-001..VIEW-007</x:v>
      </x:c>
      <x:c r="C10" s="1" t="str">
        <x:v>Public viewer</x:v>
      </x:c>
      <x:c r="D10" s="1" t="str">
        <x:v>Integration + component</x:v>
      </x:c>
      <x:c r="E10" s="4" t="str">
        <x:v>Scene param, keyboard controls, hotspot content, share, like rollback, floor plan overlay, analytics tracking best-effort.</x:v>
      </x:c>
      <x:c r="F10" s="4" t="str">
        <x:v>src/test/user-behaviors/viewer/video-player.test.tsx; src/test/stores/viewerStore.test.ts</x:v>
      </x:c>
      <x:c r="G10" s="1" t="str">
        <x:v>Automated partial</x:v>
      </x:c>
    </x:row>
    <x:row r="11" ht="46.5" customHeight="1">
      <x:c r="A11" s="1" t="str">
        <x:v>TC-EMBED-001</x:v>
      </x:c>
      <x:c r="B11" s="1" t="str">
        <x:v>EMBED-001..EMBED-003</x:v>
      </x:c>
      <x:c r="C11" s="1" t="str">
        <x:v>Embed viewer</x:v>
      </x:c>
      <x:c r="D11" s="1" t="str">
        <x:v>Integration</x:v>
      </x:c>
      <x:c r="E11" s="4" t="str">
        <x:v>URL param behavior, minimal/autohide UI, postMessage events, parent commands, branding visibility.</x:v>
      </x:c>
      <x:c r="F11" s="4" t="str">
        <x:v>src/test/user-behaviors/viewer/embed-viewer.test.tsx</x:v>
      </x:c>
      <x:c r="G11" s="1" t="str">
        <x:v>Planned</x:v>
      </x:c>
    </x:row>
    <x:row r="12" ht="46.5" customHeight="1">
      <x:c r="A12" s="1" t="str">
        <x:v>TC-MEDIA-001</x:v>
      </x:c>
      <x:c r="B12" s="1" t="str">
        <x:v>MEDIA-001..MEDIA-003; API-002</x:v>
      </x:c>
      <x:c r="C12" s="1" t="str">
        <x:v>Media library</x:v>
      </x:c>
      <x:c r="D12" s="1" t="str">
        <x:v>Integration + API</x:v>
      </x:c>
      <x:c r="E12" s="4" t="str">
        <x:v>Search/filter/pagination, preview, download links, single/bulk delete, partial failures, selection clearing.</x:v>
      </x:c>
      <x:c r="F12" s="4" t="str">
        <x:v>src/test/user-behaviors/media/media-library.test.tsx</x:v>
      </x:c>
      <x:c r="G12" s="1" t="str">
        <x:v>Planned</x:v>
      </x:c>
    </x:row>
    <x:row r="13" ht="46.5" customHeight="1">
      <x:c r="A13" s="1" t="str">
        <x:v>TC-ANALYTICS-001</x:v>
      </x:c>
      <x:c r="B13" s="1" t="str">
        <x:v>ANALYTICS-001..ANALYTICS-005</x:v>
      </x:c>
      <x:c r="C13" s="1" t="str">
        <x:v>Analytics</x:v>
      </x:c>
      <x:c r="D13" s="1" t="str">
        <x:v>Integration + unit</x:v>
      </x:c>
      <x:c r="E13" s="4" t="str">
        <x:v>Overview load, selected tour changes, empty states, date range, CSV/JSON export, heatmap scene selector.</x:v>
      </x:c>
      <x:c r="F13" s="4" t="str">
        <x:v>src/test/user-behaviors/analytics/analytics.test.tsx</x:v>
      </x:c>
      <x:c r="G13" s="1" t="str">
        <x:v>Planned</x:v>
      </x:c>
    </x:row>
    <x:row r="14" ht="46.5" customHeight="1">
      <x:c r="A14" s="1" t="str">
        <x:v>TC-PROFILE-001</x:v>
      </x:c>
      <x:c r="B14" s="1" t="str">
        <x:v>PROFILE-001..SETTINGS-004</x:v>
      </x:c>
      <x:c r="C14" s="1" t="str">
        <x:v>Profile and settings</x:v>
      </x:c>
      <x:c r="D14" s="1" t="str">
        <x:v>Integration</x:v>
      </x:c>
      <x:c r="E14" s="4" t="str">
        <x:v>Profile dirty state, avatar upload, theme changes, notification toggles, password mismatch/success/errors, delete guidance.</x:v>
      </x:c>
      <x:c r="F14" s="4" t="str">
        <x:v>src/test/user-behaviors/account/profile-settings.test.tsx</x:v>
      </x:c>
      <x:c r="G14" s="1" t="str">
        <x:v>Planned</x:v>
      </x:c>
    </x:row>
    <x:row r="15" ht="46.5" customHeight="1">
      <x:c r="A15" s="1" t="str">
        <x:v>TC-UTIL-001</x:v>
      </x:c>
      <x:c r="B15" s="1" t="str">
        <x:v>UTIL-001..UTIL-005</x:v>
      </x:c>
      <x:c r="C15" s="1" t="str">
        <x:v>Shared utilities</x:v>
      </x:c>
      <x:c r="D15" s="1" t="str">
        <x:v>Unit</x:v>
      </x:c>
      <x:c r="E15" s="4" t="str">
        <x:v>Validation edge cases, embed generation, video parsing, formatting, QR generation, clipboard fallbacks.</x:v>
      </x:c>
      <x:c r="F15" s="4" t="str">
        <x:v>src/test/utils/validation.test.ts; src/test/utils/embedCode.test.ts; src/test/utils/format.test.ts</x:v>
      </x:c>
      <x:c r="G15" s="1" t="str">
        <x:v>Automated partial</x:v>
      </x:c>
    </x:row>
    <x:row r="16" ht="46.5" customHeight="1">
      <x:c r="A16" s="1" t="str">
        <x:v>TC-E2E-001</x:v>
      </x:c>
      <x:c r="B16" s="1" t="str">
        <x:v>Critical happy paths</x:v>
      </x:c>
      <x:c r="C16" s="1" t="str">
        <x:v>Playwright smoke</x:v>
      </x:c>
      <x:c r="D16" s="1" t="str">
        <x:v>Registration/login assumptions, tour creation, editor publish/share, public viewer, media library, analytics navigation.</x:v>
      </x:c>
      <x:c r="E16" s="4" t="str">
        <x:v>e2e/user-behaviors/*.spec.ts</x:v>
      </x:c>
      <x:c r="F16" s="4" t="str">
        <x:v>e2e/*.spec.ts</x:v>
      </x:c>
      <x:c r="G16" s="1" t="str">
        <x:v>Automated pass (Chromium smoke)</x:v>
      </x:c>
    </x:row>
  </x:sheetData>
  <x:pageMargins left="0.7" right="0.7" top="0.75" bottom="0.75" header="0.3" footer="0.3"/>
  <x:tableParts count="1">
    <x:tablePart xmlns:r="http://schemas.openxmlformats.org/officeDocument/2006/relationships" r:id="Rc914a061e1eb4b0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109999656677246" hidden="0" customWidth="1"/>
    <x:col min="2" max="2" width="10.220000267028809" hidden="0" customWidth="1"/>
    <x:col min="3" max="3" width="14.4399995803833" hidden="0" customWidth="1"/>
    <x:col min="4" max="4" width="22.219999313354492" hidden="0" customWidth="1"/>
    <x:col min="5" max="5" width="16.670000076293945" hidden="0" customWidth="1"/>
    <x:col min="6" max="6" width="57.779998779296875" hidden="0" customWidth="1"/>
    <x:col min="7" max="7" width="40" hidden="0" customWidth="1"/>
    <x:col min="8" max="8" width="36.66999816894531" hidden="0" customWidth="1"/>
    <x:col min="9" max="9" width="9.109999656677246" hidden="0" customWidth="1"/>
    <x:col min="10" max="10" width="16.110000610351562" hidden="0" customWidth="1"/>
    <x:col min="11" max="11" width="14.4399995803833" hidden="0" customWidth="1"/>
    <x:col min="12" max="12" width="12.220000267028809" hidden="0" customWidth="1"/>
    <x:col min="13" max="13" width="12.220000267028809" hidden="0" customWidth="1"/>
    <x:col min="14" max="14" width="28.889999389648438" hidden="0" customWidth="1"/>
  </x:cols>
  <x:sheetData>
    <x:row r="1">
      <x:c r="A1" s="3" t="str">
        <x:v>Case ID</x:v>
      </x:c>
      <x:c r="B1" s="3" t="str">
        <x:v>Story ID</x:v>
      </x:c>
      <x:c r="C1" s="3" t="str">
        <x:v>Area</x:v>
      </x:c>
      <x:c r="D1" s="3" t="str">
        <x:v>Feature</x:v>
      </x:c>
      <x:c r="E1" s="3" t="str">
        <x:v>Route / Surface</x:v>
      </x:c>
      <x:c r="F1" s="3" t="str">
        <x:v>Happy path / expected assertion</x:v>
      </x:c>
      <x:c r="G1" s="3" t="str">
        <x:v>Edge cases</x:v>
      </x:c>
      <x:c r="H1" s="3" t="str">
        <x:v>Target file</x:v>
      </x:c>
      <x:c r="I1" s="3" t="str">
        <x:v>Priority</x:v>
      </x:c>
      <x:c r="J1" s="3" t="str">
        <x:v>Automation status</x:v>
      </x:c>
      <x:c r="K1" s="3" t="str">
        <x:v>Current test status</x:v>
      </x:c>
      <x:c r="L1" s="3" t="str">
        <x:v>Linked defects</x:v>
      </x:c>
      <x:c r="M1" s="3" t="str">
        <x:v>Fix status</x:v>
      </x:c>
      <x:c r="N1" s="3" t="str">
        <x:v>Notes</x:v>
      </x:c>
    </x:row>
    <x:row r="2" ht="55.5" customHeight="1">
      <x:c r="A2" s="1" t="str">
        <x:v>CASE-APP-001</x:v>
      </x:c>
      <x:c r="B2" s="1" t="str">
        <x:v>APP-001</x:v>
      </x:c>
      <x:c r="C2" s="1" t="str">
        <x:v>App Shell</x:v>
      </x:c>
      <x:c r="D2" s="1" t="str">
        <x:v>Boot, auth init, theme init</x:v>
      </x:c>
      <x:c r="E2" s="1" t="str">
        <x:v>All routes</x:v>
      </x:c>
      <x:c r="F2" s="4" t="str">
        <x:v>Verify boot, auth init, theme init follows the expected behavior: On launch, the app checks Supabase tokens, loads the current user when possible, preserves valid sessions during transient backend errors, applies light/dark/system theme, and shows a loading state while auth initializes.</x:v>
      </x:c>
      <x:c r="G2" s="4" t="str">
        <x:v>cold start, expired auth, transient API failure, protected redirect, responsive navigation, offline/global error state</x:v>
      </x:c>
      <x:c r="H2" s="4" t="str">
        <x:v>src/test/user-behaviors/app/app-shell.test.tsx; e2e/dashboard.spec.ts</x:v>
      </x:c>
      <x:c r="I2" s="1" t="str">
        <x:v>P0</x:v>
      </x:c>
      <x:c r="J2" s="1" t="str">
        <x:v>Planned</x:v>
      </x:c>
      <x:c r="K2" s="1" t="str">
        <x:v>Pending</x:v>
      </x:c>
      <x:c r="L2" s="1" t="str"/>
      <x:c r="M2" s="1" t="str">
        <x:v>Not started</x:v>
      </x:c>
      <x:c r="N2" s="4" t="str"/>
    </x:row>
    <x:row r="3" ht="55.5" customHeight="1">
      <x:c r="A3" s="1" t="str">
        <x:v>CASE-APP-002</x:v>
      </x:c>
      <x:c r="B3" s="1" t="str">
        <x:v>APP-002</x:v>
      </x:c>
      <x:c r="C3" s="1" t="str">
        <x:v>App Shell</x:v>
      </x:c>
      <x:c r="D3" s="1" t="str">
        <x:v>Protected routing</x:v>
      </x:c>
      <x:c r="E3" s="1" t="str">
        <x:v>Protected routes</x:v>
      </x:c>
      <x:c r="F3" s="4" t="str">
        <x:v>Verify protected routing follows the expected behavior: Protected routes only render after authentication; unauthenticated access redirects to login with route state; authenticated visits to root redirect to dashboard.</x:v>
      </x:c>
      <x:c r="G3" s="4" t="str">
        <x:v>cold start, expired auth, transient API failure, protected redirect, responsive navigation, offline/global error state</x:v>
      </x:c>
      <x:c r="H3" s="4" t="str">
        <x:v>e2e/dashboard.spec.ts; e2e/tours.spec.ts</x:v>
      </x:c>
      <x:c r="I3" s="1" t="str">
        <x:v>P0</x:v>
      </x:c>
      <x:c r="J3" s="1" t="str">
        <x:v>Implemented</x:v>
      </x:c>
      <x:c r="K3" s="1" t="str">
        <x:v>Automated pass</x:v>
      </x:c>
      <x:c r="L3" s="1" t="str"/>
      <x:c r="M3" s="1" t="str">
        <x:v>Not needed</x:v>
      </x:c>
      <x:c r="N3" s="4" t="str">
        <x:v>Chromium E2E covers unauthenticated redirects for protected dashboard/profile/settings/analytics/tour routes.</x:v>
      </x:c>
    </x:row>
    <x:row r="4" ht="55.5" customHeight="1">
      <x:c r="A4" s="1" t="str">
        <x:v>CASE-APP-003</x:v>
      </x:c>
      <x:c r="B4" s="1" t="str">
        <x:v>APP-003</x:v>
      </x:c>
      <x:c r="C4" s="1" t="str">
        <x:v>App Shell</x:v>
      </x:c>
      <x:c r="D4" s="1" t="str">
        <x:v>Global errors and recovery</x:v>
      </x:c>
      <x:c r="E4" s="1" t="str">
        <x:v>All routes</x:v>
      </x:c>
      <x:c r="F4" s="4" t="str">
        <x:v>Verify global errors and recovery follows the expected behavior: The root mounts an error boundary, global error handler, offline indicator, toast stack, and styled confirmation dialog.</x:v>
      </x:c>
      <x:c r="G4" s="4" t="str">
        <x:v>cold start, expired auth, transient API failure, protected redirect, responsive navigation, offline/global error state</x:v>
      </x:c>
      <x:c r="H4" s="4" t="str">
        <x:v>src/test/user-behaviors/app/app-shell.test.tsx; e2e/dashboard.spec.ts</x:v>
      </x:c>
      <x:c r="I4" s="1" t="str">
        <x:v>P0</x:v>
      </x:c>
      <x:c r="J4" s="1" t="str">
        <x:v>Planned</x:v>
      </x:c>
      <x:c r="K4" s="1" t="str">
        <x:v>Pending</x:v>
      </x:c>
      <x:c r="L4" s="1" t="str"/>
      <x:c r="M4" s="1" t="str">
        <x:v>Not started</x:v>
      </x:c>
      <x:c r="N4" s="4" t="str"/>
    </x:row>
    <x:row r="5" ht="55.5" customHeight="1">
      <x:c r="A5" s="1" t="str">
        <x:v>CASE-APP-004</x:v>
      </x:c>
      <x:c r="B5" s="1" t="str">
        <x:v>APP-004</x:v>
      </x:c>
      <x:c r="C5" s="1" t="str">
        <x:v>App Shell</x:v>
      </x:c>
      <x:c r="D5" s="1" t="str">
        <x:v>Dashboard layout and navigation</x:v>
      </x:c>
      <x:c r="E5" s="1" t="str">
        <x:v>Protected layout</x:v>
      </x:c>
      <x:c r="F5" s="4" t="str">
        <x:v>Verify dashboard layout and navigation follows the expected behavior: Dashboard layout exposes sidebar/header navigation for Dashboard, Tours, Media, Analytics, Profile, and Settings, with responsive sidebar behavior.</x:v>
      </x:c>
      <x:c r="G5" s="4" t="str">
        <x:v>cold start, expired auth, transient API failure, protected redirect, responsive navigation, offline/global error state</x:v>
      </x:c>
      <x:c r="H5" s="4" t="str">
        <x:v>src/test/user-behaviors/app/app-shell.test.tsx; e2e/dashboard.spec.ts</x:v>
      </x:c>
      <x:c r="I5" s="1" t="str">
        <x:v>P1</x:v>
      </x:c>
      <x:c r="J5" s="1" t="str">
        <x:v>Planned</x:v>
      </x:c>
      <x:c r="K5" s="1" t="str">
        <x:v>Pending</x:v>
      </x:c>
      <x:c r="L5" s="1" t="str"/>
      <x:c r="M5" s="1" t="str">
        <x:v>Not started</x:v>
      </x:c>
      <x:c r="N5" s="4" t="str"/>
    </x:row>
    <x:row r="6" ht="55.5" customHeight="1">
      <x:c r="A6" s="1" t="str">
        <x:v>CASE-APP-005</x:v>
      </x:c>
      <x:c r="B6" s="1" t="str">
        <x:v>APP-005</x:v>
      </x:c>
      <x:c r="C6" s="1" t="str">
        <x:v>App Shell</x:v>
      </x:c>
      <x:c r="D6" s="1" t="str">
        <x:v>Toasts and confirmations</x:v>
      </x:c>
      <x:c r="E6" s="1" t="str">
        <x:v>All routes</x:v>
      </x:c>
      <x:c r="F6" s="4" t="str">
        <x:v>Verify toasts and confirmations follows the expected behavior: Toast helpers show success/error/warning/info messages with auto-dismiss; confirmation store resolves styled destructive or normal confirmations.</x:v>
      </x:c>
      <x:c r="G6" s="4" t="str">
        <x:v>cold start, expired auth, transient API failure, protected redirect, responsive navigation, offline/global error state</x:v>
      </x:c>
      <x:c r="H6" s="4" t="str">
        <x:v>src/test/user-behaviors/editor/upload-confirmations.test.tsx</x:v>
      </x:c>
      <x:c r="I6" s="1" t="str">
        <x:v>P1</x:v>
      </x:c>
      <x:c r="J6" s="1" t="str">
        <x:v>Implemented</x:v>
      </x:c>
      <x:c r="K6" s="1" t="str">
        <x:v>Automated pass</x:v>
      </x:c>
      <x:c r="L6" s="1" t="str">
        <x:v>DEF-001, DEF-002</x:v>
      </x:c>
      <x:c r="M6" s="1" t="str">
        <x:v>Retested</x:v>
      </x:c>
      <x:c r="N6" s="4" t="str">
        <x:v>Native confirms replaced with styled confirm flow for panorama and video uploaders.</x:v>
      </x:c>
    </x:row>
    <x:row r="7" ht="55.5" customHeight="1">
      <x:c r="A7" s="1" t="str">
        <x:v>CASE-LAND-001</x:v>
      </x:c>
      <x:c r="B7" s="1" t="str">
        <x:v>LAND-001</x:v>
      </x:c>
      <x:c r="C7" s="1" t="str">
        <x:v>Landing</x:v>
      </x:c>
      <x:c r="D7" s="1" t="str">
        <x:v>Public marketing home</x:v>
      </x:c>
      <x:c r="E7" s="1" t="str">
        <x:v>/</x:v>
      </x:c>
      <x:c r="F7" s="4" t="str">
        <x:v>Verify public marketing home follows the expected behavior: The home page renders SEO tags, hero, proof, AI showcase, process, features, pricing, and CTA sections inside the public layout.</x:v>
      </x:c>
      <x:c r="G7" s="4" t="str">
        <x:v>desktop/tablet/mobile viewport, missing images, SEO/meta tags, login/register navigation, no page-load console errors</x:v>
      </x:c>
      <x:c r="H7" s="4" t="str">
        <x:v>e2e/landing.spec.ts; e2e/performance.spec.ts</x:v>
      </x:c>
      <x:c r="I7" s="1" t="str">
        <x:v>P2</x:v>
      </x:c>
      <x:c r="J7" s="1" t="str">
        <x:v>Implemented</x:v>
      </x:c>
      <x:c r="K7" s="1" t="str">
        <x:v>Automated pass</x:v>
      </x:c>
      <x:c r="L7" s="1" t="str"/>
      <x:c r="M7" s="1" t="str">
        <x:v>Not needed</x:v>
      </x:c>
      <x:c r="N7" s="4" t="str">
        <x:v>Chromium E2E covers landing render, navigation links, responsive viewports, SEO/meta smoke, and no page-load console errors.</x:v>
      </x:c>
    </x:row>
    <x:row r="8" ht="55.5" customHeight="1">
      <x:c r="A8" s="1" t="str">
        <x:v>CASE-LAND-002</x:v>
      </x:c>
      <x:c r="B8" s="1" t="str">
        <x:v>LAND-002</x:v>
      </x:c>
      <x:c r="C8" s="1" t="str">
        <x:v>Landing</x:v>
      </x:c>
      <x:c r="D8" s="1" t="str">
        <x:v>Landing navigation for authenticated users</x:v>
      </x:c>
      <x:c r="E8" s="1" t="str">
        <x:v>/</x:v>
      </x:c>
      <x:c r="F8" s="4" t="str">
        <x:v>Verify landing navigation for authenticated users follows the expected behavior: The root redirect sends authenticated users to dashboard and unauthenticated users to the landing page.</x:v>
      </x:c>
      <x:c r="G8" s="4" t="str">
        <x:v>desktop/tablet/mobile viewport, missing images, SEO/meta tags, login/register navigation, no page-load console errors</x:v>
      </x:c>
      <x:c r="H8" s="4" t="str">
        <x:v>e2e/landing.spec.ts; e2e/auth.spec.ts</x:v>
      </x:c>
      <x:c r="I8" s="1" t="str">
        <x:v>P1</x:v>
      </x:c>
      <x:c r="J8" s="1" t="str">
        <x:v>Implemented</x:v>
      </x:c>
      <x:c r="K8" s="1" t="str">
        <x:v>Automated pass</x:v>
      </x:c>
      <x:c r="L8" s="1" t="str"/>
      <x:c r="M8" s="1" t="str">
        <x:v>Not needed</x:v>
      </x:c>
      <x:c r="N8" s="4" t="str">
        <x:v>Unauthenticated root/login/register navigation is covered; authenticated-root redirect still needs a credentialed smoke check.</x:v>
      </x:c>
    </x:row>
    <x:row r="9" ht="55.5" customHeight="1">
      <x:c r="A9" s="1" t="str">
        <x:v>CASE-AUTH-001</x:v>
      </x:c>
      <x:c r="B9" s="1" t="str">
        <x:v>AUTH-001</x:v>
      </x:c>
      <x:c r="C9" s="1" t="str">
        <x:v>Authentication</x:v>
      </x:c>
      <x:c r="D9" s="1" t="str">
        <x:v>Login identifier channel selection</x:v>
      </x:c>
      <x:c r="E9" s="1" t="str">
        <x:v>/login</x:v>
      </x:c>
      <x:c r="F9" s="4" t="str">
        <x:v>Verify login identifier channel selection follows the expected behavior: Login supports phone and email tabs, restores the last successful method, validates identifier input, and branches through identifier status.</x:v>
      </x:c>
      <x:c r="G9" s="4" t="str">
        <x:v>empty input, invalid phone/email, existing vs new identifier, OTP resend/cooldown, password mismatch, backend rejection, safe redirect</x:v>
      </x:c>
      <x:c r="H9" s="4" t="str">
        <x:v>e2e/auth.spec.ts</x:v>
      </x:c>
      <x:c r="I9" s="1" t="str">
        <x:v>P0</x:v>
      </x:c>
      <x:c r="J9" s="1" t="str">
        <x:v>Implemented</x:v>
      </x:c>
      <x:c r="K9" s="1" t="str">
        <x:v>Automated pass</x:v>
      </x:c>
      <x:c r="L9" s="1" t="str"/>
      <x:c r="M9" s="1" t="str">
        <x:v>Not needed</x:v>
      </x:c>
      <x:c r="N9" s="4" t="str">
        <x:v>Playwright covers identifier-first login, phone/email switching, required fields, and invalid phone validation.</x:v>
      </x:c>
    </x:row>
    <x:row r="10" ht="55.5" customHeight="1">
      <x:c r="A10" s="1" t="str">
        <x:v>CASE-AUTH-002</x:v>
      </x:c>
      <x:c r="B10" s="1" t="str">
        <x:v>AUTH-002</x:v>
      </x:c>
      <x:c r="C10" s="1" t="str">
        <x:v>Authentication</x:v>
      </x:c>
      <x:c r="D10" s="1" t="str">
        <x:v>Login by existing password</x:v>
      </x:c>
      <x:c r="E10" s="1" t="str">
        <x:v>/login</x:v>
      </x:c>
      <x:c r="F10" s="4" t="str">
        <x:v>Verify login by existing password follows the expected behavior: Identifier status routes verified password-capable accounts to password entry; password visibility can be toggled; successful sign-in loads the user and redirects to the requested route or dashboard.</x:v>
      </x:c>
      <x:c r="G10" s="4" t="str">
        <x:v>empty input, invalid phone/email, existing vs new identifier, OTP resend/cooldown, password mismatch, backend rejection, safe redirect</x:v>
      </x:c>
      <x:c r="H10" s="4" t="str">
        <x:v>e2e/auth.spec.ts; src/test/user-behaviors/auth/authentication-flow.test.tsx</x:v>
      </x:c>
      <x:c r="I10" s="1" t="str">
        <x:v>P0</x:v>
      </x:c>
      <x:c r="J10" s="1" t="str">
        <x:v>Planned</x:v>
      </x:c>
      <x:c r="K10" s="1" t="str">
        <x:v>Pending</x:v>
      </x:c>
      <x:c r="L10" s="1" t="str"/>
      <x:c r="M10" s="1" t="str">
        <x:v>Not started</x:v>
      </x:c>
      <x:c r="N10" s="4" t="str"/>
    </x:row>
    <x:row r="11" ht="55.5" customHeight="1">
      <x:c r="A11" s="1" t="str">
        <x:v>CASE-AUTH-003</x:v>
      </x:c>
      <x:c r="B11" s="1" t="str">
        <x:v>AUTH-003</x:v>
      </x:c>
      <x:c r="C11" s="1" t="str">
        <x:v>Authentication</x:v>
      </x:c>
      <x:c r="D11" s="1" t="str">
        <x:v>Login by OTP</x:v>
      </x:c>
      <x:c r="E11" s="1" t="str">
        <x:v>/login</x:v>
      </x:c>
      <x:c r="F11" s="4" t="str">
        <x:v>Verify login by otp follows the expected behavior: The login flow requests OTP, focuses OTP entry, supports resend cooldown, uses WebOTP for phone where available, verifies the code, and records the auth method.</x:v>
      </x:c>
      <x:c r="G11" s="4" t="str">
        <x:v>empty input, invalid phone/email, existing vs new identifier, OTP resend/cooldown, password mismatch, backend rejection, safe redirect</x:v>
      </x:c>
      <x:c r="H11" s="4" t="str">
        <x:v>e2e/auth.spec.ts; src/test/user-behaviors/auth/authentication-flow.test.tsx</x:v>
      </x:c>
      <x:c r="I11" s="1" t="str">
        <x:v>P0</x:v>
      </x:c>
      <x:c r="J11" s="1" t="str">
        <x:v>Planned</x:v>
      </x:c>
      <x:c r="K11" s="1" t="str">
        <x:v>Pending</x:v>
      </x:c>
      <x:c r="L11" s="1" t="str"/>
      <x:c r="M11" s="1" t="str">
        <x:v>Not started</x:v>
      </x:c>
      <x:c r="N11" s="4" t="str"/>
    </x:row>
    <x:row r="12" ht="55.5" customHeight="1">
      <x:c r="A12" s="1" t="str">
        <x:v>CASE-AUTH-004</x:v>
      </x:c>
      <x:c r="B12" s="1" t="str">
        <x:v>AUTH-004</x:v>
      </x:c>
      <x:c r="C12" s="1" t="str">
        <x:v>Authentication</x:v>
      </x:c>
      <x:c r="D12" s="1" t="str">
        <x:v>Mandatory password setup after OTP</x:v>
      </x:c>
      <x:c r="E12" s="1" t="str">
        <x:v>/login; /register</x:v>
      </x:c>
      <x:c r="F12" s="4" t="str">
        <x:v>Verify mandatory password setup after otp follows the expected behavior: OTP-authenticated users who need setup must enter and confirm a valid password; mismatches and schema failures block completion.</x:v>
      </x:c>
      <x:c r="G12" s="4" t="str">
        <x:v>empty input, invalid phone/email, existing vs new identifier, OTP resend/cooldown, password mismatch, backend rejection, safe redirect</x:v>
      </x:c>
      <x:c r="H12" s="4" t="str">
        <x:v>e2e/auth.spec.ts; src/test/user-behaviors/auth/authentication-flow.test.tsx</x:v>
      </x:c>
      <x:c r="I12" s="1" t="str">
        <x:v>P0</x:v>
      </x:c>
      <x:c r="J12" s="1" t="str">
        <x:v>Planned</x:v>
      </x:c>
      <x:c r="K12" s="1" t="str">
        <x:v>Pending</x:v>
      </x:c>
      <x:c r="L12" s="1" t="str"/>
      <x:c r="M12" s="1" t="str">
        <x:v>Not started</x:v>
      </x:c>
      <x:c r="N12" s="4" t="str"/>
    </x:row>
    <x:row r="13" ht="55.5" customHeight="1">
      <x:c r="A13" s="1" t="str">
        <x:v>CASE-AUTH-005</x:v>
      </x:c>
      <x:c r="B13" s="1" t="str">
        <x:v>AUTH-005</x:v>
      </x:c>
      <x:c r="C13" s="1" t="str">
        <x:v>Authentication</x:v>
      </x:c>
      <x:c r="D13" s="1" t="str">
        <x:v>Registration with terms acceptance</x:v>
      </x:c>
      <x:c r="E13" s="1" t="str">
        <x:v>/register</x:v>
      </x:c>
      <x:c r="F13" s="4" t="str">
        <x:v>Verify registration with terms acceptance follows the expected behavior: Registration requires full name, phone or email, and terms acceptance before OTP; Google sign-in is offered as an alternate path.</x:v>
      </x:c>
      <x:c r="G13" s="4" t="str">
        <x:v>empty input, invalid phone/email, existing vs new identifier, OTP resend/cooldown, password mismatch, backend rejection, safe redirect</x:v>
      </x:c>
      <x:c r="H13" s="4" t="str">
        <x:v>e2e/auth.spec.ts</x:v>
      </x:c>
      <x:c r="I13" s="1" t="str">
        <x:v>P0</x:v>
      </x:c>
      <x:c r="J13" s="1" t="str">
        <x:v>Implemented</x:v>
      </x:c>
      <x:c r="K13" s="1" t="str">
        <x:v>Automated pass</x:v>
      </x:c>
      <x:c r="L13" s="1" t="str"/>
      <x:c r="M13" s="1" t="str">
        <x:v>Not needed</x:v>
      </x:c>
      <x:c r="N13" s="4" t="str">
        <x:v>Playwright covers identifier-first registration, email mode, required terms, policy links, and login link.</x:v>
      </x:c>
    </x:row>
    <x:row r="14" ht="55.5" customHeight="1">
      <x:c r="A14" s="1" t="str">
        <x:v>CASE-AUTH-006</x:v>
      </x:c>
      <x:c r="B14" s="1" t="str">
        <x:v>AUTH-006</x:v>
      </x:c>
      <x:c r="C14" s="1" t="str">
        <x:v>Authentication</x:v>
      </x:c>
      <x:c r="D14" s="1" t="str">
        <x:v>Forgot password reset</x:v>
      </x:c>
      <x:c r="E14" s="1" t="str">
        <x:v>/forgot-password</x:v>
      </x:c>
      <x:c r="F14" s="4" t="str">
        <x:v>Verify forgot password reset follows the expected behavior: Forgot password supports phone/email, prefilled route state, OTP request and resend, OTP verification, password validation, and a success screen linking back to login.</x:v>
      </x:c>
      <x:c r="G14" s="4" t="str">
        <x:v>empty input, invalid phone/email, existing vs new identifier, OTP resend/cooldown, password mismatch, backend rejection, safe redirect</x:v>
      </x:c>
      <x:c r="H14" s="4" t="str">
        <x:v>e2e/auth.spec.ts; src/test/user-behaviors/auth/authentication-flow.test.tsx</x:v>
      </x:c>
      <x:c r="I14" s="1" t="str">
        <x:v>P0</x:v>
      </x:c>
      <x:c r="J14" s="1" t="str">
        <x:v>Planned</x:v>
      </x:c>
      <x:c r="K14" s="1" t="str">
        <x:v>Pending</x:v>
      </x:c>
      <x:c r="L14" s="1" t="str"/>
      <x:c r="M14" s="1" t="str">
        <x:v>Not started</x:v>
      </x:c>
      <x:c r="N14" s="4" t="str"/>
    </x:row>
    <x:row r="15" ht="55.5" customHeight="1">
      <x:c r="A15" s="1" t="str">
        <x:v>CASE-AUTH-007</x:v>
      </x:c>
      <x:c r="B15" s="1" t="str">
        <x:v>AUTH-007</x:v>
      </x:c>
      <x:c r="C15" s="1" t="str">
        <x:v>Authentication</x:v>
      </x:c>
      <x:c r="D15" s="1" t="str">
        <x:v>OAuth callback and staff gate</x:v>
      </x:c>
      <x:c r="E15" s="1" t="str">
        <x:v>/auth/callback</x:v>
      </x:c>
      <x:c r="F15" s="4" t="str">
        <x:v>Verify oauth callback and staff gate follows the expected behavior: The callback exchanges the code, validates a safe next URL, loads the user, permits agent/admin roles, signs out disallowed roles, and surfaces not-staff errors.</x:v>
      </x:c>
      <x:c r="G15" s="4" t="str">
        <x:v>empty input, invalid phone/email, existing vs new identifier, OTP resend/cooldown, password mismatch, backend rejection, safe redirect</x:v>
      </x:c>
      <x:c r="H15" s="4" t="str">
        <x:v>e2e/auth.spec.ts; src/test/user-behaviors/auth/authentication-flow.test.tsx</x:v>
      </x:c>
      <x:c r="I15" s="1" t="str">
        <x:v>P0</x:v>
      </x:c>
      <x:c r="J15" s="1" t="str">
        <x:v>Planned</x:v>
      </x:c>
      <x:c r="K15" s="1" t="str">
        <x:v>Pending</x:v>
      </x:c>
      <x:c r="L15" s="1" t="str"/>
      <x:c r="M15" s="1" t="str">
        <x:v>Not started</x:v>
      </x:c>
      <x:c r="N15" s="4" t="str"/>
    </x:row>
    <x:row r="16" ht="55.5" customHeight="1">
      <x:c r="A16" s="1" t="str">
        <x:v>CASE-AUTH-008</x:v>
      </x:c>
      <x:c r="B16" s="1" t="str">
        <x:v>AUTH-008</x:v>
      </x:c>
      <x:c r="C16" s="1" t="str">
        <x:v>Authentication</x:v>
      </x:c>
      <x:c r="D16" s="1" t="str">
        <x:v>Session expiry and retries</x:v>
      </x:c>
      <x:c r="E16" s="1" t="str">
        <x:v>All API calls</x:v>
      </x:c>
      <x:c r="F16" s="4" t="str">
        <x:v>Verify session expiry and retries follows the expected behavior: The API client refreshes tokens once on 401, notifies auth expiry after refresh failure, retries 429 and server/network errors, and auth store preserves session on transient failures.</x:v>
      </x:c>
      <x:c r="G16" s="4" t="str">
        <x:v>empty input, invalid phone/email, existing vs new identifier, OTP resend/cooldown, password mismatch, backend rejection, safe redirect</x:v>
      </x:c>
      <x:c r="H16" s="4" t="str">
        <x:v>src/test/api/client.test.ts; src/test/stores/authStore.test.ts</x:v>
      </x:c>
      <x:c r="I16" s="1" t="str">
        <x:v>P0</x:v>
      </x:c>
      <x:c r="J16" s="1" t="str">
        <x:v>Implemented</x:v>
      </x:c>
      <x:c r="K16" s="1" t="str">
        <x:v>Automated pass</x:v>
      </x:c>
      <x:c r="L16" s="1" t="str"/>
      <x:c r="M16" s="1" t="str">
        <x:v>Not needed</x:v>
      </x:c>
      <x:c r="N16" s="4" t="str">
        <x:v>API retry/session expiry and auth-store transient failure behavior are covered by the existing automated suite.</x:v>
      </x:c>
    </x:row>
    <x:row r="17" ht="55.5" customHeight="1">
      <x:c r="A17" s="1" t="str">
        <x:v>CASE-DASH-001</x:v>
      </x:c>
      <x:c r="B17" s="1" t="str">
        <x:v>DASH-001</x:v>
      </x:c>
      <x:c r="C17" s="1" t="str">
        <x:v>Dashboard</x:v>
      </x:c>
      <x:c r="D17" s="1" t="str">
        <x:v>Dashboard overview metrics</x:v>
      </x:c>
      <x:c r="E17" s="1" t="str">
        <x:v>/dashboard</x:v>
      </x:c>
      <x:c r="F17" s="4" t="str">
        <x:v>Verify dashboard overview metrics follows the expected behavior: Dashboard loads stats cards, recent tours, realtime daily views, and storage progress with loading, error, and retry states.</x:v>
      </x:c>
      <x:c r="G17" s="4" t="str">
        <x:v>loading, empty stats, API error/retry, realtime metric update, storage limits, recent tour action links</x:v>
      </x:c>
      <x:c r="H17" s="4" t="str">
        <x:v>src/test/user-behaviors/dashboard/dashboard.test.tsx</x:v>
      </x:c>
      <x:c r="I17" s="1" t="str">
        <x:v>P1</x:v>
      </x:c>
      <x:c r="J17" s="1" t="str">
        <x:v>Planned</x:v>
      </x:c>
      <x:c r="K17" s="1" t="str">
        <x:v>Pending</x:v>
      </x:c>
      <x:c r="L17" s="1" t="str"/>
      <x:c r="M17" s="1" t="str">
        <x:v>Not started</x:v>
      </x:c>
      <x:c r="N17" s="4" t="str"/>
    </x:row>
    <x:row r="18" ht="55.5" customHeight="1">
      <x:c r="A18" s="1" t="str">
        <x:v>CASE-DASH-002</x:v>
      </x:c>
      <x:c r="B18" s="1" t="str">
        <x:v>DASH-002</x:v>
      </x:c>
      <x:c r="C18" s="1" t="str">
        <x:v>Dashboard</x:v>
      </x:c>
      <x:c r="D18" s="1" t="str">
        <x:v>Recent tours launch points</x:v>
      </x:c>
      <x:c r="E18" s="1" t="str">
        <x:v>/dashboard</x:v>
      </x:c>
      <x:c r="F18" s="4" t="str">
        <x:v>Verify recent tours launch points follows the expected behavior: Recent tours list exposes tour details and actions; empty states guide users toward creating tours.</x:v>
      </x:c>
      <x:c r="G18" s="4" t="str">
        <x:v>loading, empty stats, API error/retry, realtime metric update, storage limits, recent tour action links</x:v>
      </x:c>
      <x:c r="H18" s="4" t="str">
        <x:v>src/test/user-behaviors/dashboard/dashboard.test.tsx</x:v>
      </x:c>
      <x:c r="I18" s="1" t="str">
        <x:v>P2</x:v>
      </x:c>
      <x:c r="J18" s="1" t="str">
        <x:v>Planned</x:v>
      </x:c>
      <x:c r="K18" s="1" t="str">
        <x:v>Pending</x:v>
      </x:c>
      <x:c r="L18" s="1" t="str"/>
      <x:c r="M18" s="1" t="str">
        <x:v>Not started</x:v>
      </x:c>
      <x:c r="N18" s="4" t="str"/>
    </x:row>
    <x:row r="19" ht="55.5" customHeight="1">
      <x:c r="A19" s="1" t="str">
        <x:v>CASE-TOURS-001</x:v>
      </x:c>
      <x:c r="B19" s="1" t="str">
        <x:v>TOURS-001</x:v>
      </x:c>
      <x:c r="C19" s="1" t="str">
        <x:v>Tours</x:v>
      </x:c>
      <x:c r="D19" s="1" t="str">
        <x:v>Tour list search, filters, pagination</x:v>
      </x:c>
      <x:c r="E19" s="1" t="str">
        <x:v>/tours</x:v>
      </x:c>
      <x:c r="F19" s="4" t="str">
        <x:v>Verify tour list search, filters, pagination follows the expected behavior: Tours page debounces search, filters by status, supports cursor-based next/previous paging, and resets pagination when filters change.</x:v>
      </x:c>
      <x:c r="G19" s="4" t="str">
        <x:v>empty list, debounced search, status filter reset, cursor pagination, destructive confirmations, duplicate/archive/delete API failure</x:v>
      </x:c>
      <x:c r="H19" s="4" t="str">
        <x:v>src/test/user-behaviors/tours/tour-management.test.tsx; e2e/tours.spec.ts</x:v>
      </x:c>
      <x:c r="I19" s="1" t="str">
        <x:v>P0</x:v>
      </x:c>
      <x:c r="J19" s="1" t="str">
        <x:v>Planned</x:v>
      </x:c>
      <x:c r="K19" s="1" t="str">
        <x:v>Pending</x:v>
      </x:c>
      <x:c r="L19" s="1" t="str"/>
      <x:c r="M19" s="1" t="str">
        <x:v>Not started</x:v>
      </x:c>
      <x:c r="N19" s="4" t="str"/>
    </x:row>
    <x:row r="20" ht="55.5" customHeight="1">
      <x:c r="A20" s="1" t="str">
        <x:v>CASE-TOURS-002</x:v>
      </x:c>
      <x:c r="B20" s="1" t="str">
        <x:v>TOURS-002</x:v>
      </x:c>
      <x:c r="C20" s="1" t="str">
        <x:v>Tours</x:v>
      </x:c>
      <x:c r="D20" s="1" t="str">
        <x:v>Grid and list tour browsing</x:v>
      </x:c>
      <x:c r="E20" s="1" t="str">
        <x:v>/tours</x:v>
      </x:c>
      <x:c r="F20" s="4" t="str">
        <x:v>Verify grid and list tour browsing follows the expected behavior: Tours can be shown as cards or rows, with loading skeletons, empty states, and status badges.</x:v>
      </x:c>
      <x:c r="G20" s="4" t="str">
        <x:v>empty list, debounced search, status filter reset, cursor pagination, destructive confirmations, duplicate/archive/delete API failure</x:v>
      </x:c>
      <x:c r="H20" s="4" t="str">
        <x:v>src/test/user-behaviors/tours/tour-management.test.tsx; e2e/tours.spec.ts</x:v>
      </x:c>
      <x:c r="I20" s="1" t="str">
        <x:v>P1</x:v>
      </x:c>
      <x:c r="J20" s="1" t="str">
        <x:v>Planned</x:v>
      </x:c>
      <x:c r="K20" s="1" t="str">
        <x:v>Pending</x:v>
      </x:c>
      <x:c r="L20" s="1" t="str"/>
      <x:c r="M20" s="1" t="str">
        <x:v>Not started</x:v>
      </x:c>
      <x:c r="N20" s="4" t="str"/>
    </x:row>
    <x:row r="21" ht="55.5" customHeight="1">
      <x:c r="A21" s="1" t="str">
        <x:v>CASE-TOURS-003</x:v>
      </x:c>
      <x:c r="B21" s="1" t="str">
        <x:v>TOURS-003</x:v>
      </x:c>
      <x:c r="C21" s="1" t="str">
        <x:v>Tours</x:v>
      </x:c>
      <x:c r="D21" s="1" t="str">
        <x:v>Tour lifecycle actions</x:v>
      </x:c>
      <x:c r="E21" s="1" t="str">
        <x:v>/tours</x:v>
      </x:c>
      <x:c r="F21" s="4" t="str">
        <x:v>Verify tour lifecycle actions follows the expected behavior: Action menus call duplicate/archive/unarchive/delete APIs, invalidate tour queries, and use confirmations for destructive operations.</x:v>
      </x:c>
      <x:c r="G21" s="4" t="str">
        <x:v>empty list, debounced search, status filter reset, cursor pagination, destructive confirmations, duplicate/archive/delete API failure</x:v>
      </x:c>
      <x:c r="H21" s="4" t="str">
        <x:v>src/test/user-behaviors/tours/tour-management.test.tsx; e2e/tours.spec.ts</x:v>
      </x:c>
      <x:c r="I21" s="1" t="str">
        <x:v>P0</x:v>
      </x:c>
      <x:c r="J21" s="1" t="str">
        <x:v>Planned</x:v>
      </x:c>
      <x:c r="K21" s="1" t="str">
        <x:v>Pending</x:v>
      </x:c>
      <x:c r="L21" s="1" t="str"/>
      <x:c r="M21" s="1" t="str">
        <x:v>Not started</x:v>
      </x:c>
      <x:c r="N21" s="4" t="str"/>
    </x:row>
    <x:row r="22" ht="55.5" customHeight="1">
      <x:c r="A22" s="1" t="str">
        <x:v>CASE-TOURS-004</x:v>
      </x:c>
      <x:c r="B22" s="1" t="str">
        <x:v>TOURS-004</x:v>
      </x:c>
      <x:c r="C22" s="1" t="str">
        <x:v>Tours</x:v>
      </x:c>
      <x:c r="D22" s="1" t="str">
        <x:v>Published tour access</x:v>
      </x:c>
      <x:c r="E22" s="1" t="str">
        <x:v>/tours; /tours/:id</x:v>
      </x:c>
      <x:c r="F22" s="4" t="str">
        <x:v>Verify published tour access follows the expected behavior: Published tours expose a public view link; draft tours do not offer the live view action.</x:v>
      </x:c>
      <x:c r="G22" s="4" t="str">
        <x:v>empty list, debounced search, status filter reset, cursor pagination, destructive confirmations, duplicate/archive/delete API failure</x:v>
      </x:c>
      <x:c r="H22" s="4" t="str">
        <x:v>src/test/user-behaviors/tours/tour-management.test.tsx; e2e/tours.spec.ts</x:v>
      </x:c>
      <x:c r="I22" s="1" t="str">
        <x:v>P1</x:v>
      </x:c>
      <x:c r="J22" s="1" t="str">
        <x:v>Planned</x:v>
      </x:c>
      <x:c r="K22" s="1" t="str">
        <x:v>Pending</x:v>
      </x:c>
      <x:c r="L22" s="1" t="str"/>
      <x:c r="M22" s="1" t="str">
        <x:v>Not started</x:v>
      </x:c>
      <x:c r="N22" s="4" t="str"/>
    </x:row>
    <x:row r="23" ht="55.5" customHeight="1">
      <x:c r="A23" s="1" t="str">
        <x:v>CASE-TOURS-005</x:v>
      </x:c>
      <x:c r="B23" s="1" t="str">
        <x:v>TOURS-005</x:v>
      </x:c>
      <x:c r="C23" s="1" t="str">
        <x:v>Tours</x:v>
      </x:c>
      <x:c r="D23" s="1" t="str">
        <x:v>Protected tour detail preview</x:v>
      </x:c>
      <x:c r="E23" s="1" t="str">
        <x:v>/tours/:id</x:v>
      </x:c>
      <x:c r="F23" s="4" t="str">
        <x:v>Verify protected tour detail preview follows the expected behavior: Tour detail loads tour/scenes, shows a panorama preview, scene grid, metrics, settings, edit/share/analytics actions, and disables sharing while draft.</x:v>
      </x:c>
      <x:c r="G23" s="4" t="str">
        <x:v>empty list, debounced search, status filter reset, cursor pagination, destructive confirmations, duplicate/archive/delete API failure</x:v>
      </x:c>
      <x:c r="H23" s="4" t="str">
        <x:v>src/test/user-behaviors/tours/tour-management.test.tsx; e2e/tours.spec.ts</x:v>
      </x:c>
      <x:c r="I23" s="1" t="str">
        <x:v>P1</x:v>
      </x:c>
      <x:c r="J23" s="1" t="str">
        <x:v>Planned</x:v>
      </x:c>
      <x:c r="K23" s="1" t="str">
        <x:v>Pending</x:v>
      </x:c>
      <x:c r="L23" s="1" t="str"/>
      <x:c r="M23" s="1" t="str">
        <x:v>Not started</x:v>
      </x:c>
      <x:c r="N23" s="4" t="str"/>
    </x:row>
    <x:row r="24" ht="55.5" customHeight="1">
      <x:c r="A24" s="1" t="str">
        <x:v>CASE-CREATE-001</x:v>
      </x:c>
      <x:c r="B24" s="1" t="str">
        <x:v>CREATE-001</x:v>
      </x:c>
      <x:c r="C24" s="1" t="str">
        <x:v>Tour Creation</x:v>
      </x:c>
      <x:c r="D24" s="1" t="str">
        <x:v>Create tour details</x:v>
      </x:c>
      <x:c r="E24" s="1" t="str">
        <x:v>/tours/create</x:v>
      </x:c>
      <x:c r="F24" s="4" t="str">
        <x:v>Verify create tour details follows the expected behavior: Create page validates required title, creates a draft tour, and supports returning to edit the info before uploading.</x:v>
      </x:c>
      <x:c r="G24" s="4" t="str">
        <x:v>missing title, oversized/invalid files, upload failure, partial upload, skip upload, AI wizard limits and cancellation</x:v>
      </x:c>
      <x:c r="H24" s="4" t="str">
        <x:v>src/test/user-behaviors/tours/tour-creation.test.tsx; e2e/tour-create.spec.ts</x:v>
      </x:c>
      <x:c r="I24" s="1" t="str">
        <x:v>P0</x:v>
      </x:c>
      <x:c r="J24" s="1" t="str">
        <x:v>Planned</x:v>
      </x:c>
      <x:c r="K24" s="1" t="str">
        <x:v>Pending</x:v>
      </x:c>
      <x:c r="L24" s="1" t="str"/>
      <x:c r="M24" s="1" t="str">
        <x:v>Not started</x:v>
      </x:c>
      <x:c r="N24" s="4" t="str"/>
    </x:row>
    <x:row r="25" ht="55.5" customHeight="1">
      <x:c r="A25" s="1" t="str">
        <x:v>CASE-CREATE-002</x:v>
      </x:c>
      <x:c r="B25" s="1" t="str">
        <x:v>CREATE-002</x:v>
      </x:c>
      <x:c r="C25" s="1" t="str">
        <x:v>Tour Creation</x:v>
      </x:c>
      <x:c r="D25" s="1" t="str">
        <x:v>Upload panorama images</x:v>
      </x:c>
      <x:c r="E25" s="1" t="str">
        <x:v>/tours/create</x:v>
      </x:c>
      <x:c r="F25" s="4" t="str">
        <x:v>Verify upload panorama images follows the expected behavior: Selected or dropped images are validated, displayed with removal controls, uploaded with per-file and total progress, and converted into scenes.</x:v>
      </x:c>
      <x:c r="G25" s="4" t="str">
        <x:v>missing title, oversized/invalid files, upload failure, partial upload, skip upload, AI wizard limits and cancellation</x:v>
      </x:c>
      <x:c r="H25" s="4" t="str">
        <x:v>src/test/user-behaviors/tours/tour-creation.test.tsx; e2e/tour-create.spec.ts</x:v>
      </x:c>
      <x:c r="I25" s="1" t="str">
        <x:v>P0</x:v>
      </x:c>
      <x:c r="J25" s="1" t="str">
        <x:v>Planned</x:v>
      </x:c>
      <x:c r="K25" s="1" t="str">
        <x:v>Pending</x:v>
      </x:c>
      <x:c r="L25" s="1" t="str"/>
      <x:c r="M25" s="1" t="str">
        <x:v>Not started</x:v>
      </x:c>
      <x:c r="N25" s="4" t="str"/>
    </x:row>
    <x:row r="26" ht="55.5" customHeight="1">
      <x:c r="A26" s="1" t="str">
        <x:v>CASE-CREATE-003</x:v>
      </x:c>
      <x:c r="B26" s="1" t="str">
        <x:v>CREATE-003</x:v>
      </x:c>
      <x:c r="C26" s="1" t="str">
        <x:v>Tour Creation</x:v>
      </x:c>
      <x:c r="D26" s="1" t="str">
        <x:v>AI tour generation wizard</x:v>
      </x:c>
      <x:c r="E26" s="1" t="str">
        <x:v>/tours/create</x:v>
      </x:c>
      <x:c r="F26" s="4" t="str">
        <x:v>Verify ai tour generation wizard follows the expected behavior: Wizard accepts up to 50 images under 50 MB each, combines rejection errors, collects optional details and AI options, uploads files, tracks the job, reviews generated scenes, and completes into the editor.</x:v>
      </x:c>
      <x:c r="G26" s="4" t="str">
        <x:v>missing title, oversized/invalid files, upload failure, partial upload, skip upload, AI wizard limits and cancellation</x:v>
      </x:c>
      <x:c r="H26" s="4" t="str">
        <x:v>src/test/user-behaviors/tours/tour-creation.test.tsx; e2e/tour-create.spec.ts</x:v>
      </x:c>
      <x:c r="I26" s="1" t="str">
        <x:v>P1</x:v>
      </x:c>
      <x:c r="J26" s="1" t="str">
        <x:v>Planned</x:v>
      </x:c>
      <x:c r="K26" s="1" t="str">
        <x:v>Pending</x:v>
      </x:c>
      <x:c r="L26" s="1" t="str"/>
      <x:c r="M26" s="1" t="str">
        <x:v>Not started</x:v>
      </x:c>
      <x:c r="N26" s="4" t="str"/>
    </x:row>
    <x:row r="27" ht="55.5" customHeight="1">
      <x:c r="A27" s="1" t="str">
        <x:v>CASE-CREATE-004</x:v>
      </x:c>
      <x:c r="B27" s="1" t="str">
        <x:v>CREATE-004</x:v>
      </x:c>
      <x:c r="C27" s="1" t="str">
        <x:v>Tour Creation</x:v>
      </x:c>
      <x:c r="D27" s="1" t="str">
        <x:v>Skip upload and edit later</x:v>
      </x:c>
      <x:c r="E27" s="1" t="str">
        <x:v>/tours/create</x:v>
      </x:c>
      <x:c r="F27" s="4" t="str">
        <x:v>Verify skip upload and edit later follows the expected behavior: After creating tour details, users can skip uploads and continue to the editor with an empty tour.</x:v>
      </x:c>
      <x:c r="G27" s="4" t="str">
        <x:v>missing title, oversized/invalid files, upload failure, partial upload, skip upload, AI wizard limits and cancellation</x:v>
      </x:c>
      <x:c r="H27" s="4" t="str">
        <x:v>src/test/user-behaviors/tours/tour-creation.test.tsx; e2e/tour-create.spec.ts</x:v>
      </x:c>
      <x:c r="I27" s="1" t="str">
        <x:v>P2</x:v>
      </x:c>
      <x:c r="J27" s="1" t="str">
        <x:v>Planned</x:v>
      </x:c>
      <x:c r="K27" s="1" t="str">
        <x:v>Pending</x:v>
      </x:c>
      <x:c r="L27" s="1" t="str"/>
      <x:c r="M27" s="1" t="str">
        <x:v>Not started</x:v>
      </x:c>
      <x:c r="N27" s="4" t="str"/>
    </x:row>
    <x:row r="28" ht="55.5" customHeight="1">
      <x:c r="A28" s="1" t="str">
        <x:v>CASE-EDIT-001</x:v>
      </x:c>
      <x:c r="B28" s="1" t="str">
        <x:v>EDIT-001</x:v>
      </x:c>
      <x:c r="C28" s="1" t="str">
        <x:v>Tour Editor</x:v>
      </x:c>
      <x:c r="D28" s="1" t="str">
        <x:v>Editor load and scene selection</x:v>
      </x:c>
      <x:c r="E28" s="1" t="str">
        <x:v>/tours/:id/edit</x:v>
      </x:c>
      <x:c r="F28" s="4" t="str">
        <x:v>Verify editor load and scene selection follows the expected behavior: Editor fetches tour/scenes, initializes store state, recovers stale selections, and renders empty prompts when there are no scenes.</x:v>
      </x:c>
      <x:c r="G28" s="4" t="str">
        <x:v>empty scene state, stale selected scene, save failure, unsaved changes, destructive confirmation, keyboard shortcuts, drag/drop, API retry</x:v>
      </x:c>
      <x:c r="H28" s="4" t="str">
        <x:v>src/test/user-behaviors/editor/editor-core.test.tsx; e2e/tour-edit.spec.ts</x:v>
      </x:c>
      <x:c r="I28" s="1" t="str">
        <x:v>P0</x:v>
      </x:c>
      <x:c r="J28" s="1" t="str">
        <x:v>Planned</x:v>
      </x:c>
      <x:c r="K28" s="1" t="str">
        <x:v>Pending</x:v>
      </x:c>
      <x:c r="L28" s="1" t="str"/>
      <x:c r="M28" s="1" t="str">
        <x:v>Not started</x:v>
      </x:c>
      <x:c r="N28" s="4" t="str"/>
    </x:row>
    <x:row r="29" ht="55.5" customHeight="1">
      <x:c r="A29" s="1" t="str">
        <x:v>CASE-EDIT-002</x:v>
      </x:c>
      <x:c r="B29" s="1" t="str">
        <x:v>EDIT-002</x:v>
      </x:c>
      <x:c r="C29" s="1" t="str">
        <x:v>Tour Editor</x:v>
      </x:c>
      <x:c r="D29" s="1" t="str">
        <x:v>Unsaved change protection</x:v>
      </x:c>
      <x:c r="E29" s="1" t="str">
        <x:v>/tours/:id/edit</x:v>
      </x:c>
      <x:c r="F29" s="4" t="str">
        <x:v>Verify unsaved change protection follows the expected behavior: Pending settings or draft changes trigger route blocking, beforeunload protection, and an unsaved changes dialog.</x:v>
      </x:c>
      <x:c r="G29" s="4" t="str">
        <x:v>empty scene state, stale selected scene, save failure, unsaved changes, destructive confirmation, keyboard shortcuts, drag/drop, API retry</x:v>
      </x:c>
      <x:c r="H29" s="4" t="str">
        <x:v>src/test/user-behaviors/editor/editor-core.test.tsx; e2e/tour-edit.spec.ts</x:v>
      </x:c>
      <x:c r="I29" s="1" t="str">
        <x:v>P0</x:v>
      </x:c>
      <x:c r="J29" s="1" t="str">
        <x:v>Planned</x:v>
      </x:c>
      <x:c r="K29" s="1" t="str">
        <x:v>Pending</x:v>
      </x:c>
      <x:c r="L29" s="1" t="str"/>
      <x:c r="M29" s="1" t="str">
        <x:v>Not started</x:v>
      </x:c>
      <x:c r="N29" s="4" t="str"/>
    </x:row>
    <x:row r="30" ht="55.5" customHeight="1">
      <x:c r="A30" s="1" t="str">
        <x:v>CASE-EDIT-003</x:v>
      </x:c>
      <x:c r="B30" s="1" t="str">
        <x:v>EDIT-003</x:v>
      </x:c>
      <x:c r="C30" s="1" t="str">
        <x:v>Tour Editor</x:v>
      </x:c>
      <x:c r="D30" s="1" t="str">
        <x:v>Save, undo, redo keyboard flow</x:v>
      </x:c>
      <x:c r="E30" s="1" t="str">
        <x:v>/tours/:id/edit</x:v>
      </x:c>
      <x:c r="F30" s="4" t="str">
        <x:v>Verify save, undo, redo keyboard flow follows the expected behavior: Ctrl/Cmd+S saves tour/settings changes; undo/redo maintain bounded history and clear history after save or discard.</x:v>
      </x:c>
      <x:c r="G30" s="4" t="str">
        <x:v>empty scene state, stale selected scene, save failure, unsaved changes, destructive confirmation, keyboard shortcuts, drag/drop, API retry</x:v>
      </x:c>
      <x:c r="H30" s="4" t="str">
        <x:v>src/test/user-behaviors/editor/editor-core.test.tsx; e2e/tour-edit.spec.ts</x:v>
      </x:c>
      <x:c r="I30" s="1" t="str">
        <x:v>P0</x:v>
      </x:c>
      <x:c r="J30" s="1" t="str">
        <x:v>Planned</x:v>
      </x:c>
      <x:c r="K30" s="1" t="str">
        <x:v>Pending</x:v>
      </x:c>
      <x:c r="L30" s="1" t="str"/>
      <x:c r="M30" s="1" t="str">
        <x:v>Not started</x:v>
      </x:c>
      <x:c r="N30" s="4" t="str"/>
    </x:row>
    <x:row r="31" ht="55.5" customHeight="1">
      <x:c r="A31" s="1" t="str">
        <x:v>CASE-EDIT-004</x:v>
      </x:c>
      <x:c r="B31" s="1" t="str">
        <x:v>EDIT-004</x:v>
      </x:c>
      <x:c r="C31" s="1" t="str">
        <x:v>Tour Editor</x:v>
      </x:c>
      <x:c r="D31" s="1" t="str">
        <x:v>Publish and unpublish</x:v>
      </x:c>
      <x:c r="E31" s="1" t="str">
        <x:v>/tours/:id/edit</x:v>
      </x:c>
      <x:c r="F31" s="4" t="str">
        <x:v>Verify publish and unpublish follows the expected behavior: Publish and unpublish actions update tour status, invalidate queries, and adjust available sharing/open actions.</x:v>
      </x:c>
      <x:c r="G31" s="4" t="str">
        <x:v>empty scene state, stale selected scene, save failure, unsaved changes, destructive confirmation, keyboard shortcuts, drag/drop, API retry</x:v>
      </x:c>
      <x:c r="H31" s="4" t="str">
        <x:v>src/test/user-behaviors/editor/editor-core.test.tsx; e2e/tour-edit.spec.ts</x:v>
      </x:c>
      <x:c r="I31" s="1" t="str">
        <x:v>P0</x:v>
      </x:c>
      <x:c r="J31" s="1" t="str">
        <x:v>Planned</x:v>
      </x:c>
      <x:c r="K31" s="1" t="str">
        <x:v>Pending</x:v>
      </x:c>
      <x:c r="L31" s="1" t="str"/>
      <x:c r="M31" s="1" t="str">
        <x:v>Not started</x:v>
      </x:c>
      <x:c r="N31" s="4" t="str"/>
    </x:row>
    <x:row r="32" ht="55.5" customHeight="1">
      <x:c r="A32" s="1" t="str">
        <x:v>CASE-EDIT-005</x:v>
      </x:c>
      <x:c r="B32" s="1" t="str">
        <x:v>EDIT-005</x:v>
      </x:c>
      <x:c r="C32" s="1" t="str">
        <x:v>Tour Editor</x:v>
      </x:c>
      <x:c r="D32" s="1" t="str">
        <x:v>Preview, duplicate, delete</x:v>
      </x:c>
      <x:c r="E32" s="1" t="str">
        <x:v>/tours/:id/edit</x:v>
      </x:c>
      <x:c r="F32" s="4" t="str">
        <x:v>Verify preview, duplicate, delete follows the expected behavior: Editor can open public preview, duplicate a tour and navigate to the new editor, or delete with confirmation.</x:v>
      </x:c>
      <x:c r="G32" s="4" t="str">
        <x:v>empty scene state, stale selected scene, save failure, unsaved changes, destructive confirmation, keyboard shortcuts, drag/drop, API retry</x:v>
      </x:c>
      <x:c r="H32" s="4" t="str">
        <x:v>src/test/user-behaviors/editor/editor-core.test.tsx; e2e/tour-edit.spec.ts</x:v>
      </x:c>
      <x:c r="I32" s="1" t="str">
        <x:v>P1</x:v>
      </x:c>
      <x:c r="J32" s="1" t="str">
        <x:v>Planned</x:v>
      </x:c>
      <x:c r="K32" s="1" t="str">
        <x:v>Pending</x:v>
      </x:c>
      <x:c r="L32" s="1" t="str"/>
      <x:c r="M32" s="1" t="str">
        <x:v>Not started</x:v>
      </x:c>
      <x:c r="N32" s="4" t="str"/>
    </x:row>
    <x:row r="33" ht="55.5" customHeight="1">
      <x:c r="A33" s="1" t="str">
        <x:v>CASE-EDIT-006</x:v>
      </x:c>
      <x:c r="B33" s="1" t="str">
        <x:v>EDIT-006</x:v>
      </x:c>
      <x:c r="C33" s="1" t="str">
        <x:v>Tour Editor</x:v>
      </x:c>
      <x:c r="D33" s="1" t="str">
        <x:v>Scene panel upload and create</x:v>
      </x:c>
      <x:c r="E33" s="1" t="str">
        <x:v>/tours/:id/edit</x:v>
      </x:c>
      <x:c r="F33" s="4" t="str">
        <x:v>Verify scene panel upload and create follows the expected behavior: Scene panel accepts images, validates files, uploads them, creates scenes, selects new scenes, and displays upload state.</x:v>
      </x:c>
      <x:c r="G33" s="4" t="str">
        <x:v>empty scene state, stale selected scene, save failure, unsaved changes, destructive confirmation, keyboard shortcuts, drag/drop, API retry</x:v>
      </x:c>
      <x:c r="H33" s="4" t="str">
        <x:v>src/test/user-behaviors/editor/editor-core.test.tsx; e2e/tour-edit.spec.ts</x:v>
      </x:c>
      <x:c r="I33" s="1" t="str">
        <x:v>P0</x:v>
      </x:c>
      <x:c r="J33" s="1" t="str">
        <x:v>Planned</x:v>
      </x:c>
      <x:c r="K33" s="1" t="str">
        <x:v>Pending</x:v>
      </x:c>
      <x:c r="L33" s="1" t="str"/>
      <x:c r="M33" s="1" t="str">
        <x:v>Not started</x:v>
      </x:c>
      <x:c r="N33" s="4" t="str"/>
    </x:row>
    <x:row r="34" ht="55.5" customHeight="1">
      <x:c r="A34" s="1" t="str">
        <x:v>CASE-EDIT-007</x:v>
      </x:c>
      <x:c r="B34" s="1" t="str">
        <x:v>EDIT-007</x:v>
      </x:c>
      <x:c r="C34" s="1" t="str">
        <x:v>Tour Editor</x:v>
      </x:c>
      <x:c r="D34" s="1" t="str">
        <x:v>Scene reorder</x:v>
      </x:c>
      <x:c r="E34" s="1" t="str">
        <x:v>/tours/:id/edit</x:v>
      </x:c>
      <x:c r="F34" s="4" t="str">
        <x:v>Verify scene reorder follows the expected behavior: Scene panel uses sortable drag and drop, persists scene order, and keeps current selection intact.</x:v>
      </x:c>
      <x:c r="G34" s="4" t="str">
        <x:v>empty scene state, stale selected scene, save failure, unsaved changes, destructive confirmation, keyboard shortcuts, drag/drop, API retry</x:v>
      </x:c>
      <x:c r="H34" s="4" t="str">
        <x:v>src/test/user-behaviors/editor/editor-core.test.tsx; e2e/tour-edit.spec.ts</x:v>
      </x:c>
      <x:c r="I34" s="1" t="str">
        <x:v>P1</x:v>
      </x:c>
      <x:c r="J34" s="1" t="str">
        <x:v>Planned</x:v>
      </x:c>
      <x:c r="K34" s="1" t="str">
        <x:v>Pending</x:v>
      </x:c>
      <x:c r="L34" s="1" t="str"/>
      <x:c r="M34" s="1" t="str">
        <x:v>Not started</x:v>
      </x:c>
      <x:c r="N34" s="4" t="str"/>
    </x:row>
    <x:row r="35" ht="55.5" customHeight="1">
      <x:c r="A35" s="1" t="str">
        <x:v>CASE-EDIT-008</x:v>
      </x:c>
      <x:c r="B35" s="1" t="str">
        <x:v>EDIT-008</x:v>
      </x:c>
      <x:c r="C35" s="1" t="str">
        <x:v>Tour Editor</x:v>
      </x:c>
      <x:c r="D35" s="1" t="str">
        <x:v>Scene delete</x:v>
      </x:c>
      <x:c r="E35" s="1" t="str">
        <x:v>/tours/:id/edit</x:v>
      </x:c>
      <x:c r="F35" s="4" t="str">
        <x:v>Verify scene delete follows the expected behavior: Scene delete requires confirmation, calls the scenes API, updates current selection when needed, and invalidates tour data.</x:v>
      </x:c>
      <x:c r="G35" s="4" t="str">
        <x:v>empty scene state, stale selected scene, save failure, unsaved changes, destructive confirmation, keyboard shortcuts, drag/drop, API retry</x:v>
      </x:c>
      <x:c r="H35" s="4" t="str">
        <x:v>src/test/user-behaviors/editor/editor-core.test.tsx; e2e/tour-edit.spec.ts</x:v>
      </x:c>
      <x:c r="I35" s="1" t="str">
        <x:v>P1</x:v>
      </x:c>
      <x:c r="J35" s="1" t="str">
        <x:v>Planned</x:v>
      </x:c>
      <x:c r="K35" s="1" t="str">
        <x:v>Pending</x:v>
      </x:c>
      <x:c r="L35" s="1" t="str"/>
      <x:c r="M35" s="1" t="str">
        <x:v>Not started</x:v>
      </x:c>
      <x:c r="N35" s="4" t="str"/>
    </x:row>
    <x:row r="36" ht="55.5" customHeight="1">
      <x:c r="A36" s="1" t="str">
        <x:v>CASE-EDIT-009</x:v>
      </x:c>
      <x:c r="B36" s="1" t="str">
        <x:v>EDIT-009</x:v>
      </x:c>
      <x:c r="C36" s="1" t="str">
        <x:v>Tour Editor</x:v>
      </x:c>
      <x:c r="D36" s="1" t="str">
        <x:v>Panorama render and controls</x:v>
      </x:c>
      <x:c r="E36" s="1" t="str">
        <x:v>Editor, public, embed, local</x:v>
      </x:c>
      <x:c r="F36" s="4" t="str">
        <x:v>Verify panorama render and controls follows the expected behavior: PanoramaViewer initializes Photo Sphere Viewer, handles ready/error/retry states, applies initial view/FOV, marker rendering, keyboard marker activation, auto-rotate, fullscreen, gyroscope, and VR/stereo fallbacks.</x:v>
      </x:c>
      <x:c r="G36" s="4" t="str">
        <x:v>empty scene state, stale selected scene, save failure, unsaved changes, destructive confirmation, keyboard shortcuts, drag/drop, API retry</x:v>
      </x:c>
      <x:c r="H36" s="4" t="str">
        <x:v>src/test/components/PanoramaViewer.test.tsx</x:v>
      </x:c>
      <x:c r="I36" s="1" t="str">
        <x:v>P0</x:v>
      </x:c>
      <x:c r="J36" s="1" t="str">
        <x:v>Implemented</x:v>
      </x:c>
      <x:c r="K36" s="1" t="str">
        <x:v>Automated pass</x:v>
      </x:c>
      <x:c r="L36" s="1" t="str"/>
      <x:c r="M36" s="1" t="str">
        <x:v>Not needed</x:v>
      </x:c>
      <x:c r="N36" s="4" t="str">
        <x:v>Viewer tests verify stable instance lifecycle and panorama updates when scene props change.</x:v>
      </x:c>
    </x:row>
    <x:row r="37" ht="55.5" customHeight="1">
      <x:c r="A37" s="1" t="str">
        <x:v>CASE-EDIT-010</x:v>
      </x:c>
      <x:c r="B37" s="1" t="str">
        <x:v>EDIT-010</x:v>
      </x:c>
      <x:c r="C37" s="1" t="str">
        <x:v>Tour Editor</x:v>
      </x:c>
      <x:c r="D37" s="1" t="str">
        <x:v>Hotspot placement mode</x:v>
      </x:c>
      <x:c r="E37" s="1" t="str">
        <x:v>/tours/:id/edit</x:v>
      </x:c>
      <x:c r="F37" s="4" t="str">
        <x:v>Verify hotspot placement mode follows the expected behavior: Pressing H or using the UI enters placement mode, shows overlay instructions, captures yaw/pitch on click, opens the hotspot editor, and exits with Esc or cancel.</x:v>
      </x:c>
      <x:c r="G37" s="4" t="str">
        <x:v>empty scene state, stale selected scene, save failure, unsaved changes, destructive confirmation, keyboard shortcuts, drag/drop, API retry</x:v>
      </x:c>
      <x:c r="H37" s="4" t="str">
        <x:v>src/test/user-behaviors/editor/editor-core.test.tsx; e2e/tour-edit.spec.ts</x:v>
      </x:c>
      <x:c r="I37" s="1" t="str">
        <x:v>P0</x:v>
      </x:c>
      <x:c r="J37" s="1" t="str">
        <x:v>Planned</x:v>
      </x:c>
      <x:c r="K37" s="1" t="str">
        <x:v>Pending</x:v>
      </x:c>
      <x:c r="L37" s="1" t="str"/>
      <x:c r="M37" s="1" t="str">
        <x:v>Not started</x:v>
      </x:c>
      <x:c r="N37" s="4" t="str"/>
    </x:row>
    <x:row r="38" ht="55.5" customHeight="1">
      <x:c r="A38" s="1" t="str">
        <x:v>CASE-EDIT-011</x:v>
      </x:c>
      <x:c r="B38" s="1" t="str">
        <x:v>EDIT-011</x:v>
      </x:c>
      <x:c r="C38" s="1" t="str">
        <x:v>Tour Editor</x:v>
      </x:c>
      <x:c r="D38" s="1" t="str">
        <x:v>Hotspot editing by type</x:v>
      </x:c>
      <x:c r="E38" s="1" t="str">
        <x:v>/tours/:id/edit</x:v>
      </x:c>
      <x:c r="F38" s="4" t="str">
        <x:v>Verify hotspot editing by type follows the expected behavior: Hotspot editor supports navigation, info, audio, video, link, and custom types with required fields, appearance controls, icon picker, manual yaw/pitch, and create/update API calls.</x:v>
      </x:c>
      <x:c r="G38" s="4" t="str">
        <x:v>empty scene state, stale selected scene, save failure, unsaved changes, destructive confirmation, keyboard shortcuts, drag/drop, API retry</x:v>
      </x:c>
      <x:c r="H38" s="4" t="str">
        <x:v>src/test/user-behaviors/editor/editor-core.test.tsx; e2e/tour-edit.spec.ts</x:v>
      </x:c>
      <x:c r="I38" s="1" t="str">
        <x:v>P0</x:v>
      </x:c>
      <x:c r="J38" s="1" t="str">
        <x:v>Planned</x:v>
      </x:c>
      <x:c r="K38" s="1" t="str">
        <x:v>Pending</x:v>
      </x:c>
      <x:c r="L38" s="1" t="str"/>
      <x:c r="M38" s="1" t="str">
        <x:v>Not started</x:v>
      </x:c>
      <x:c r="N38" s="4" t="str"/>
    </x:row>
    <x:row r="39" ht="55.5" customHeight="1">
      <x:c r="A39" s="1" t="str">
        <x:v>CASE-EDIT-012</x:v>
      </x:c>
      <x:c r="B39" s="1" t="str">
        <x:v>EDIT-012</x:v>
      </x:c>
      <x:c r="C39" s="1" t="str">
        <x:v>Tour Editor</x:v>
      </x:c>
      <x:c r="D39" s="1" t="str">
        <x:v>Hotspot list and deletion</x:v>
      </x:c>
      <x:c r="E39" s="1" t="str">
        <x:v>/tours/:id/edit</x:v>
      </x:c>
      <x:c r="F39" s="4" t="str">
        <x:v>Verify hotspot list and deletion follows the expected behavior: Hotspot panel lists current-scene hotspots, selects them, opens quick edit, and deletes after confirmation.</x:v>
      </x:c>
      <x:c r="G39" s="4" t="str">
        <x:v>empty scene state, stale selected scene, save failure, unsaved changes, destructive confirmation, keyboard shortcuts, drag/drop, API retry</x:v>
      </x:c>
      <x:c r="H39" s="4" t="str">
        <x:v>src/test/user-behaviors/editor/editor-core.test.tsx; e2e/tour-edit.spec.ts</x:v>
      </x:c>
      <x:c r="I39" s="1" t="str">
        <x:v>P1</x:v>
      </x:c>
      <x:c r="J39" s="1" t="str">
        <x:v>Planned</x:v>
      </x:c>
      <x:c r="K39" s="1" t="str">
        <x:v>Pending</x:v>
      </x:c>
      <x:c r="L39" s="1" t="str"/>
      <x:c r="M39" s="1" t="str">
        <x:v>Not started</x:v>
      </x:c>
      <x:c r="N39" s="4" t="str"/>
    </x:row>
    <x:row r="40" ht="55.5" customHeight="1">
      <x:c r="A40" s="1" t="str">
        <x:v>CASE-EDIT-013</x:v>
      </x:c>
      <x:c r="B40" s="1" t="str">
        <x:v>EDIT-013</x:v>
      </x:c>
      <x:c r="C40" s="1" t="str">
        <x:v>Tour Editor</x:v>
      </x:c>
      <x:c r="D40" s="1" t="str">
        <x:v>Hotspot drag reposition</x:v>
      </x:c>
      <x:c r="E40" s="1" t="str">
        <x:v>/tours/:id/edit</x:v>
      </x:c>
      <x:c r="F40" s="4" t="str">
        <x:v>Verify hotspot drag reposition follows the expected behavior: Viewer marker drag events update hotspot yaw/pitch through editor callbacks and persist through hotspot update behavior.</x:v>
      </x:c>
      <x:c r="G40" s="4" t="str">
        <x:v>empty scene state, stale selected scene, save failure, unsaved changes, destructive confirmation, keyboard shortcuts, drag/drop, API retry</x:v>
      </x:c>
      <x:c r="H40" s="4" t="str">
        <x:v>src/test/user-behaviors/editor/editor-core.test.tsx; e2e/tour-edit.spec.ts</x:v>
      </x:c>
      <x:c r="I40" s="1" t="str">
        <x:v>P1</x:v>
      </x:c>
      <x:c r="J40" s="1" t="str">
        <x:v>Planned</x:v>
      </x:c>
      <x:c r="K40" s="1" t="str">
        <x:v>Pending</x:v>
      </x:c>
      <x:c r="L40" s="1" t="str"/>
      <x:c r="M40" s="1" t="str">
        <x:v>Not started</x:v>
      </x:c>
      <x:c r="N40" s="4" t="str"/>
    </x:row>
    <x:row r="41" ht="55.5" customHeight="1">
      <x:c r="A41" s="1" t="str">
        <x:v>CASE-EDIT-014</x:v>
      </x:c>
      <x:c r="B41" s="1" t="str">
        <x:v>EDIT-014</x:v>
      </x:c>
      <x:c r="C41" s="1" t="str">
        <x:v>Tour Editor</x:v>
      </x:c>
      <x:c r="D41" s="1" t="str">
        <x:v>Tour settings and embed configuration</x:v>
      </x:c>
      <x:c r="E41" s="1" t="str">
        <x:v>/tours/:id/edit</x:v>
      </x:c>
      <x:c r="F41" s="4" t="str">
        <x:v>Verify tour settings and embed configuration follows the expected behavior: Settings panel supports title, description, visibility, starting scene, auto-rotate speed, navbar, fullscreen, VR, gyroscope, share link, and generated iframe embed code.</x:v>
      </x:c>
      <x:c r="G41" s="4" t="str">
        <x:v>empty scene state, stale selected scene, save failure, unsaved changes, destructive confirmation, keyboard shortcuts, drag/drop, API retry</x:v>
      </x:c>
      <x:c r="H41" s="4" t="str">
        <x:v>src/test/user-behaviors/editor/editor-core.test.tsx; e2e/tour-edit.spec.ts</x:v>
      </x:c>
      <x:c r="I41" s="1" t="str">
        <x:v>P0</x:v>
      </x:c>
      <x:c r="J41" s="1" t="str">
        <x:v>Planned</x:v>
      </x:c>
      <x:c r="K41" s="1" t="str">
        <x:v>Pending</x:v>
      </x:c>
      <x:c r="L41" s="1" t="str"/>
      <x:c r="M41" s="1" t="str">
        <x:v>Not started</x:v>
      </x:c>
      <x:c r="N41" s="4" t="str"/>
    </x:row>
    <x:row r="42" ht="55.5" customHeight="1">
      <x:c r="A42" s="1" t="str">
        <x:v>CASE-EDIT-015</x:v>
      </x:c>
      <x:c r="B42" s="1" t="str">
        <x:v>EDIT-015</x:v>
      </x:c>
      <x:c r="C42" s="1" t="str">
        <x:v>Tour Editor</x:v>
      </x:c>
      <x:c r="D42" s="1" t="str">
        <x:v>Share modal</x:v>
      </x:c>
      <x:c r="E42" s="1" t="str">
        <x:v>/tours/:id/edit; /tours/:id</x:v>
      </x:c>
      <x:c r="F42" s="4" t="str">
        <x:v>Verify share modal follows the expected behavior: Share modal provides copyable public link and iframe, QR PNG/SVG download, and social share buttons with copy feedback.</x:v>
      </x:c>
      <x:c r="G42" s="4" t="str">
        <x:v>empty scene state, stale selected scene, save failure, unsaved changes, destructive confirmation, keyboard shortcuts, drag/drop, API retry</x:v>
      </x:c>
      <x:c r="H42" s="4" t="str">
        <x:v>src/test/user-behaviors/editor/editor-core.test.tsx; e2e/tour-edit.spec.ts</x:v>
      </x:c>
      <x:c r="I42" s="1" t="str">
        <x:v>P1</x:v>
      </x:c>
      <x:c r="J42" s="1" t="str">
        <x:v>Planned</x:v>
      </x:c>
      <x:c r="K42" s="1" t="str">
        <x:v>Pending</x:v>
      </x:c>
      <x:c r="L42" s="1" t="str"/>
      <x:c r="M42" s="1" t="str">
        <x:v>Not started</x:v>
      </x:c>
      <x:c r="N42" s="4" t="str"/>
    </x:row>
    <x:row r="43" ht="55.5" customHeight="1">
      <x:c r="A43" s="1" t="str">
        <x:v>CASE-EDIT-016</x:v>
      </x:c>
      <x:c r="B43" s="1" t="str">
        <x:v>EDIT-016</x:v>
      </x:c>
      <x:c r="C43" s="1" t="str">
        <x:v>Tour Editor</x:v>
      </x:c>
      <x:c r="D43" s="1" t="str">
        <x:v>Branding panel</x:v>
      </x:c>
      <x:c r="E43" s="1" t="str">
        <x:v>/tours/:id/edit</x:v>
      </x:c>
      <x:c r="F43" s="4" t="str">
        <x:v>Verify branding panel follows the expected behavior: Branding panel edits colors, font, button style, watermark, logo upload/removal, desktop/mobile preview, reset defaults, and avoids persisting failed blob logo URLs.</x:v>
      </x:c>
      <x:c r="G43" s="4" t="str">
        <x:v>empty scene state, stale selected scene, save failure, unsaved changes, destructive confirmation, keyboard shortcuts, drag/drop, API retry</x:v>
      </x:c>
      <x:c r="H43" s="4" t="str">
        <x:v>src/test/user-behaviors/editor/editor-core.test.tsx; e2e/tour-edit.spec.ts</x:v>
      </x:c>
      <x:c r="I43" s="1" t="str">
        <x:v>P1</x:v>
      </x:c>
      <x:c r="J43" s="1" t="str">
        <x:v>Planned</x:v>
      </x:c>
      <x:c r="K43" s="1" t="str">
        <x:v>Pending</x:v>
      </x:c>
      <x:c r="L43" s="1" t="str"/>
      <x:c r="M43" s="1" t="str">
        <x:v>Not started</x:v>
      </x:c>
      <x:c r="N43" s="4" t="str"/>
    </x:row>
    <x:row r="44" ht="55.5" customHeight="1">
      <x:c r="A44" s="1" t="str">
        <x:v>CASE-EDIT-017</x:v>
      </x:c>
      <x:c r="B44" s="1" t="str">
        <x:v>EDIT-017</x:v>
      </x:c>
      <x:c r="C44" s="1" t="str">
        <x:v>Tour Editor</x:v>
      </x:c>
      <x:c r="D44" s="1" t="str">
        <x:v>Floor plan editor</x:v>
      </x:c>
      <x:c r="E44" s="1" t="str">
        <x:v>/tours/:id/edit</x:v>
      </x:c>
      <x:c r="F44" s="4" t="str">
        <x:v>Verify floor plan editor follows the expected behavior: Floor plan editor adds, deletes, reorders, renames plans, uploads plan images, places/moves/removes scene markers by clicking image coordinates, and saves plan data.</x:v>
      </x:c>
      <x:c r="G44" s="4" t="str">
        <x:v>empty scene state, stale selected scene, save failure, unsaved changes, destructive confirmation, keyboard shortcuts, drag/drop, API retry</x:v>
      </x:c>
      <x:c r="H44" s="4" t="str">
        <x:v>src/test/user-behaviors/editor/floor-plan-editor.test.tsx</x:v>
      </x:c>
      <x:c r="I44" s="1" t="str">
        <x:v>P1</x:v>
      </x:c>
      <x:c r="J44" s="1" t="str">
        <x:v>Implemented</x:v>
      </x:c>
      <x:c r="K44" s="1" t="str">
        <x:v>Automated pass</x:v>
      </x:c>
      <x:c r="L44" s="1" t="str">
        <x:v>DEF-003</x:v>
      </x:c>
      <x:c r="M44" s="1" t="str">
        <x:v>Retested</x:v>
      </x:c>
      <x:c r="N44" s="4" t="str">
        <x:v>Failed floor-plan uploads now show an inline error and do not persist blob URLs.</x:v>
      </x:c>
    </x:row>
    <x:row r="45" ht="55.5" customHeight="1">
      <x:c r="A45" s="1" t="str">
        <x:v>CASE-EDIT-018</x:v>
      </x:c>
      <x:c r="B45" s="1" t="str">
        <x:v>EDIT-018</x:v>
      </x:c>
      <x:c r="C45" s="1" t="str">
        <x:v>Tour Editor</x:v>
      </x:c>
      <x:c r="D45" s="1" t="str">
        <x:v>AI scene analysis</x:v>
      </x:c>
      <x:c r="E45" s="1" t="str">
        <x:v>/tours/:id/edit</x:v>
      </x:c>
      <x:c r="F45" s="4" t="str">
        <x:v>Verify ai scene analysis follows the expected behavior: Scene analysis starts an AI job, tracks progress, displays room type/confidence/quality/features, selects results, and applies selected titles/descriptions.</x:v>
      </x:c>
      <x:c r="G45" s="4" t="str">
        <x:v>empty scene state, stale selected scene, save failure, unsaved changes, destructive confirmation, keyboard shortcuts, drag/drop, API retry</x:v>
      </x:c>
      <x:c r="H45" s="4" t="str">
        <x:v>src/test/user-behaviors/editor/scene-analysis.test.tsx</x:v>
      </x:c>
      <x:c r="I45" s="1" t="str">
        <x:v>P1</x:v>
      </x:c>
      <x:c r="J45" s="1" t="str">
        <x:v>Implemented</x:v>
      </x:c>
      <x:c r="K45" s="1" t="str">
        <x:v>Automated pass</x:v>
      </x:c>
      <x:c r="L45" s="1" t="str">
        <x:v>DEF-004</x:v>
      </x:c>
      <x:c r="M45" s="1" t="str">
        <x:v>Retested</x:v>
      </x:c>
      <x:c r="N45" s="4" t="str">
        <x:v>Scene analysis result checkbox is keyboard and pointer operable.</x:v>
      </x:c>
    </x:row>
    <x:row r="46" ht="55.5" customHeight="1">
      <x:c r="A46" s="1" t="str">
        <x:v>CASE-EDIT-019</x:v>
      </x:c>
      <x:c r="B46" s="1" t="str">
        <x:v>EDIT-019</x:v>
      </x:c>
      <x:c r="C46" s="1" t="str">
        <x:v>Tour Editor</x:v>
      </x:c>
      <x:c r="D46" s="1" t="str">
        <x:v>AI descriptions</x:v>
      </x:c>
      <x:c r="E46" s="1" t="str">
        <x:v>/tours/:id/edit</x:v>
      </x:c>
      <x:c r="F46" s="4" t="str">
        <x:v>Verify ai descriptions follows the expected behavior: Description generator accepts tone, length, and audience, tracks an AI job, supports retry, edit/reset/copy per scene, regenerate all, and apply.</x:v>
      </x:c>
      <x:c r="G46" s="4" t="str">
        <x:v>empty scene state, stale selected scene, save failure, unsaved changes, destructive confirmation, keyboard shortcuts, drag/drop, API retry</x:v>
      </x:c>
      <x:c r="H46" s="4" t="str">
        <x:v>src/test/user-behaviors/editor/editor-core.test.tsx; e2e/tour-edit.spec.ts</x:v>
      </x:c>
      <x:c r="I46" s="1" t="str">
        <x:v>P1</x:v>
      </x:c>
      <x:c r="J46" s="1" t="str">
        <x:v>Planned</x:v>
      </x:c>
      <x:c r="K46" s="1" t="str">
        <x:v>Pending</x:v>
      </x:c>
      <x:c r="L46" s="1" t="str"/>
      <x:c r="M46" s="1" t="str">
        <x:v>Not started</x:v>
      </x:c>
      <x:c r="N46" s="4" t="str"/>
    </x:row>
    <x:row r="47" ht="55.5" customHeight="1">
      <x:c r="A47" s="1" t="str">
        <x:v>CASE-EDIT-020</x:v>
      </x:c>
      <x:c r="B47" s="1" t="str">
        <x:v>EDIT-020</x:v>
      </x:c>
      <x:c r="C47" s="1" t="str">
        <x:v>Tour Editor</x:v>
      </x:c>
      <x:c r="D47" s="1" t="str">
        <x:v>AI hotspot suggestions</x:v>
      </x:c>
      <x:c r="E47" s="1" t="str">
        <x:v>/tours/:id/edit</x:v>
      </x:c>
      <x:c r="F47" s="4" t="str">
        <x:v>Verify ai hotspot suggestions follows the expected behavior: Hotspot suggestions analyze the current scene, preview approximate marker positions, select/deselect suggestions, show target scenes/confidence, and add selected hotspots.</x:v>
      </x:c>
      <x:c r="G47" s="4" t="str">
        <x:v>empty scene state, stale selected scene, save failure, unsaved changes, destructive confirmation, keyboard shortcuts, drag/drop, API retry</x:v>
      </x:c>
      <x:c r="H47" s="4" t="str">
        <x:v>src/test/user-behaviors/editor/editor-core.test.tsx; e2e/tour-edit.spec.ts</x:v>
      </x:c>
      <x:c r="I47" s="1" t="str">
        <x:v>P1</x:v>
      </x:c>
      <x:c r="J47" s="1" t="str">
        <x:v>Planned</x:v>
      </x:c>
      <x:c r="K47" s="1" t="str">
        <x:v>Pending</x:v>
      </x:c>
      <x:c r="L47" s="1" t="str"/>
      <x:c r="M47" s="1" t="str">
        <x:v>Not started</x:v>
      </x:c>
      <x:c r="N47" s="4" t="str"/>
    </x:row>
    <x:row r="48" ht="55.5" customHeight="1">
      <x:c r="A48" s="1" t="str">
        <x:v>CASE-EDIT-021</x:v>
      </x:c>
      <x:c r="B48" s="1" t="str">
        <x:v>EDIT-021</x:v>
      </x:c>
      <x:c r="C48" s="1" t="str">
        <x:v>Tour Editor</x:v>
      </x:c>
      <x:c r="D48" s="1" t="str">
        <x:v>AI reel generation</x:v>
      </x:c>
      <x:c r="E48" s="1" t="str">
        <x:v>/tours/:id/edit</x:v>
      </x:c>
      <x:c r="F48" s="4" t="str">
        <x:v>Verify ai reel generation follows the expected behavior: Reel modal orders and selects scenes, adjusts seconds per scene, starts an AI job, tracks progress, cancels, previews result, downloads, copies link, and retries after error.</x:v>
      </x:c>
      <x:c r="G48" s="4" t="str">
        <x:v>empty scene state, stale selected scene, save failure, unsaved changes, destructive confirmation, keyboard shortcuts, drag/drop, API retry</x:v>
      </x:c>
      <x:c r="H48" s="4" t="str">
        <x:v>src/test/user-behaviors/viewer/video-player.test.tsx</x:v>
      </x:c>
      <x:c r="I48" s="1" t="str">
        <x:v>P2</x:v>
      </x:c>
      <x:c r="J48" s="1" t="str">
        <x:v>Implemented</x:v>
      </x:c>
      <x:c r="K48" s="1" t="str">
        <x:v>Automated pass</x:v>
      </x:c>
      <x:c r="L48" s="1" t="str">
        <x:v>DEF-006</x:v>
      </x:c>
      <x:c r="M48" s="1" t="str">
        <x:v>Retested</x:v>
      </x:c>
      <x:c r="N48" s="4" t="str">
        <x:v>Video progress, buffer, and scrubber styles stay finite before metadata loads.</x:v>
      </x:c>
    </x:row>
    <x:row r="49" ht="55.5" customHeight="1">
      <x:c r="A49" s="1" t="str">
        <x:v>CASE-EDIT-022</x:v>
      </x:c>
      <x:c r="B49" s="1" t="str">
        <x:v>EDIT-022</x:v>
      </x:c>
      <x:c r="C49" s="1" t="str">
        <x:v>Tour Editor</x:v>
      </x:c>
      <x:c r="D49" s="1" t="str">
        <x:v>Activity feed</x:v>
      </x:c>
      <x:c r="E49" s="1" t="str">
        <x:v>/tours/:id/edit</x:v>
      </x:c>
      <x:c r="F49" s="4" t="str">
        <x:v>Verify activity feed follows the expected behavior: Activity feed filters by action, groups by local date, shows actor/action/target/time/details, supports refresh, and summarizes count/last activity.</x:v>
      </x:c>
      <x:c r="G49" s="4" t="str">
        <x:v>empty scene state, stale selected scene, save failure, unsaved changes, destructive confirmation, keyboard shortcuts, drag/drop, API retry</x:v>
      </x:c>
      <x:c r="H49" s="4" t="str">
        <x:v>src/test/user-behaviors/editor/editor-core.test.tsx; e2e/tour-edit.spec.ts</x:v>
      </x:c>
      <x:c r="I49" s="1" t="str">
        <x:v>P2</x:v>
      </x:c>
      <x:c r="J49" s="1" t="str">
        <x:v>Planned</x:v>
      </x:c>
      <x:c r="K49" s="1" t="str">
        <x:v>Pending</x:v>
      </x:c>
      <x:c r="L49" s="1" t="str"/>
      <x:c r="M49" s="1" t="str">
        <x:v>Not started</x:v>
      </x:c>
      <x:c r="N49" s="4" t="str"/>
    </x:row>
    <x:row r="50" ht="55.5" customHeight="1">
      <x:c r="A50" s="1" t="str">
        <x:v>CASE-EDIT-023</x:v>
      </x:c>
      <x:c r="B50" s="1" t="str">
        <x:v>EDIT-023</x:v>
      </x:c>
      <x:c r="C50" s="1" t="str">
        <x:v>Tour Editor</x:v>
      </x:c>
      <x:c r="D50" s="1" t="str">
        <x:v>Collaborator management</x:v>
      </x:c>
      <x:c r="E50" s="1" t="str">
        <x:v>/tours/:id/edit</x:v>
      </x:c>
      <x:c r="F50" s="4" t="str">
        <x:v>Verify collaborator management follows the expected behavior: Collaborator popover fetches collaborators, displays avatars/roles, invites editor/viewer by email, prevents owner removal, and confirms removals.</x:v>
      </x:c>
      <x:c r="G50" s="4" t="str">
        <x:v>empty scene state, stale selected scene, save failure, unsaved changes, destructive confirmation, keyboard shortcuts, drag/drop, API retry</x:v>
      </x:c>
      <x:c r="H50" s="4" t="str">
        <x:v>src/test/user-behaviors/editor/editor-core.test.tsx; e2e/tour-edit.spec.ts</x:v>
      </x:c>
      <x:c r="I50" s="1" t="str">
        <x:v>P1</x:v>
      </x:c>
      <x:c r="J50" s="1" t="str">
        <x:v>Planned</x:v>
      </x:c>
      <x:c r="K50" s="1" t="str">
        <x:v>Pending</x:v>
      </x:c>
      <x:c r="L50" s="1" t="str"/>
      <x:c r="M50" s="1" t="str">
        <x:v>Not started</x:v>
      </x:c>
      <x:c r="N50" s="4" t="str"/>
    </x:row>
    <x:row r="51" ht="55.5" customHeight="1">
      <x:c r="A51" s="1" t="str">
        <x:v>CASE-EDIT-024</x:v>
      </x:c>
      <x:c r="B51" s="1" t="str">
        <x:v>EDIT-024</x:v>
      </x:c>
      <x:c r="C51" s="1" t="str">
        <x:v>Tour Editor</x:v>
      </x:c>
      <x:c r="D51" s="1" t="str">
        <x:v>Bulk scene uploader</x:v>
      </x:c>
      <x:c r="E51" s="1" t="str">
        <x:v>/tours/:id/edit</x:v>
      </x:c>
      <x:c r="F51" s="4" t="str">
        <x:v>Verify bulk scene uploader follows the expected behavior: Bulk uploader validates files, previews accepted images, uploads with bounded concurrency, shows per-file status/progress, retries failed files, clears/removes items, and invalidates scenes after success.</x:v>
      </x:c>
      <x:c r="G51" s="4" t="str">
        <x:v>empty scene state, stale selected scene, save failure, unsaved changes, destructive confirmation, keyboard shortcuts, drag/drop, API retry</x:v>
      </x:c>
      <x:c r="H51" s="4" t="str">
        <x:v>src/test/user-behaviors/editor/upload-confirmations.test.tsx</x:v>
      </x:c>
      <x:c r="I51" s="1" t="str">
        <x:v>P1</x:v>
      </x:c>
      <x:c r="J51" s="1" t="str">
        <x:v>Implemented</x:v>
      </x:c>
      <x:c r="K51" s="1" t="str">
        <x:v>Automated pass</x:v>
      </x:c>
      <x:c r="L51" s="1" t="str">
        <x:v>DEF-001</x:v>
      </x:c>
      <x:c r="M51" s="1" t="str">
        <x:v>Retested</x:v>
      </x:c>
      <x:c r="N51" s="4" t="str">
        <x:v>Bulk uploader close/cancel uses the styled confirmation dialog during active uploads.</x:v>
      </x:c>
    </x:row>
    <x:row r="52" ht="55.5" customHeight="1">
      <x:c r="A52" s="1" t="str">
        <x:v>CASE-EDIT-025</x:v>
      </x:c>
      <x:c r="B52" s="1" t="str">
        <x:v>EDIT-025</x:v>
      </x:c>
      <x:c r="C52" s="1" t="str">
        <x:v>Tour Editor</x:v>
      </x:c>
      <x:c r="D52" s="1" t="str">
        <x:v>Custom domain setup</x:v>
      </x:c>
      <x:c r="E52" s="1" t="str">
        <x:v>Unlinked component</x:v>
      </x:c>
      <x:c r="F52" s="4" t="str">
        <x:v>Verify custom domain setup follows the expected behavior: Custom domain modal validates domain input, shows DNS CNAME/TXT records, copies values, verifies/removes domain, and displays SSL state.</x:v>
      </x:c>
      <x:c r="G52" s="4" t="str">
        <x:v>empty scene state, stale selected scene, save failure, unsaved changes, destructive confirmation, keyboard shortcuts, drag/drop, API retry</x:v>
      </x:c>
      <x:c r="H52" s="4" t="str">
        <x:v>src/test/user-behaviors/account/custom-domain-setup.test.tsx</x:v>
      </x:c>
      <x:c r="I52" s="1" t="str">
        <x:v>P3</x:v>
      </x:c>
      <x:c r="J52" s="1" t="str">
        <x:v>Implemented</x:v>
      </x:c>
      <x:c r="K52" s="1" t="str">
        <x:v>Automated pass</x:v>
      </x:c>
      <x:c r="L52" s="1" t="str">
        <x:v>DEF-005</x:v>
      </x:c>
      <x:c r="M52" s="1" t="str">
        <x:v>Retested</x:v>
      </x:c>
      <x:c r="N52" s="4" t="str">
        <x:v>Domain validation accepts and normalizes valid branded subdomains while rejecting malformed labels.</x:v>
      </x:c>
    </x:row>
    <x:row r="53" ht="55.5" customHeight="1">
      <x:c r="A53" s="1" t="str">
        <x:v>CASE-EDIT-026</x:v>
      </x:c>
      <x:c r="B53" s="1" t="str">
        <x:v>EDIT-026</x:v>
      </x:c>
      <x:c r="C53" s="1" t="str">
        <x:v>Tour Editor</x:v>
      </x:c>
      <x:c r="D53" s="1" t="str">
        <x:v>Video upload for hotspot media</x:v>
      </x:c>
      <x:c r="E53" s="1" t="str">
        <x:v>Hotspot/media modal</x:v>
      </x:c>
      <x:c r="F53" s="4" t="str">
        <x:v>Verify video upload for hotspot media follows the expected behavior: Video uploader validates size/format, extracts duration and thumbnail, uploads the video and best-effort thumbnail, reports status/retry/remove, and returns durable media URLs.</x:v>
      </x:c>
      <x:c r="G53" s="4" t="str">
        <x:v>empty scene state, stale selected scene, save failure, unsaved changes, destructive confirmation, keyboard shortcuts, drag/drop, API retry</x:v>
      </x:c>
      <x:c r="H53" s="4" t="str">
        <x:v>src/test/user-behaviors/editor/upload-confirmations.test.tsx</x:v>
      </x:c>
      <x:c r="I53" s="1" t="str">
        <x:v>P2</x:v>
      </x:c>
      <x:c r="J53" s="1" t="str">
        <x:v>Implemented</x:v>
      </x:c>
      <x:c r="K53" s="1" t="str">
        <x:v>Automated pass</x:v>
      </x:c>
      <x:c r="L53" s="1" t="str">
        <x:v>DEF-002</x:v>
      </x:c>
      <x:c r="M53" s="1" t="str">
        <x:v>Retested</x:v>
      </x:c>
      <x:c r="N53" s="4" t="str">
        <x:v>Video uploader close/cancel uses the styled confirmation dialog while pending uploads exist.</x:v>
      </x:c>
    </x:row>
    <x:row r="54" ht="55.5" customHeight="1">
      <x:c r="A54" s="1" t="str">
        <x:v>CASE-VIEW-001</x:v>
      </x:c>
      <x:c r="B54" s="1" t="str">
        <x:v>VIEW-001</x:v>
      </x:c>
      <x:c r="C54" s="1" t="str">
        <x:v>Public Viewer</x:v>
      </x:c>
      <x:c r="D54" s="1" t="str">
        <x:v>Public tour loading and settings</x:v>
      </x:c>
      <x:c r="E54" s="1" t="str">
        <x:v>/view/:id</x:v>
      </x:c>
      <x:c r="F54" s="4" t="str">
        <x:v>Verify public tour loading and settings follows the expected behavior: Public viewer fetches tour/scenes without duplicate tracking, merges URL params with viewer settings, initializes requested/default scene, and handles loading/error/empty states.</x:v>
      </x:c>
      <x:c r="G54" s="4" t="str">
        <x:v>invalid tour, invalid scene param, missing hotspot data, mobile gestures, fullscreen fallback, share/like rollback, analytics failure</x:v>
      </x:c>
      <x:c r="H54" s="4" t="str">
        <x:v>src/test/user-behaviors/viewer/public-viewer.test.tsx; e2e/public-viewer.spec.ts</x:v>
      </x:c>
      <x:c r="I54" s="1" t="str">
        <x:v>P0</x:v>
      </x:c>
      <x:c r="J54" s="1" t="str">
        <x:v>Planned</x:v>
      </x:c>
      <x:c r="K54" s="1" t="str">
        <x:v>Pending</x:v>
      </x:c>
      <x:c r="L54" s="1" t="str"/>
      <x:c r="M54" s="1" t="str">
        <x:v>Not started</x:v>
      </x:c>
      <x:c r="N54" s="4" t="str"/>
    </x:row>
    <x:row r="55" ht="55.5" customHeight="1">
      <x:c r="A55" s="1" t="str">
        <x:v>CASE-VIEW-002</x:v>
      </x:c>
      <x:c r="B55" s="1" t="str">
        <x:v>VIEW-002</x:v>
      </x:c>
      <x:c r="C55" s="1" t="str">
        <x:v>Public Viewer</x:v>
      </x:c>
      <x:c r="D55" s="1" t="str">
        <x:v>Scene navigation</x:v>
      </x:c>
      <x:c r="E55" s="1" t="str">
        <x:v>/view/:id</x:v>
      </x:c>
      <x:c r="F55" s="4" t="str">
        <x:v>Verify scene navigation follows the expected behavior: Viewer supports thumbnails, scene counter, current scene badge, two-finger swipe, and keyboard previous/next shortcuts.</x:v>
      </x:c>
      <x:c r="G55" s="4" t="str">
        <x:v>invalid tour, invalid scene param, missing hotspot data, mobile gestures, fullscreen fallback, share/like rollback, analytics failure</x:v>
      </x:c>
      <x:c r="H55" s="4" t="str">
        <x:v>src/test/user-behaviors/viewer/public-viewer.test.tsx; e2e/public-viewer.spec.ts</x:v>
      </x:c>
      <x:c r="I55" s="1" t="str">
        <x:v>P0</x:v>
      </x:c>
      <x:c r="J55" s="1" t="str">
        <x:v>Planned</x:v>
      </x:c>
      <x:c r="K55" s="1" t="str">
        <x:v>Pending</x:v>
      </x:c>
      <x:c r="L55" s="1" t="str"/>
      <x:c r="M55" s="1" t="str">
        <x:v>Not started</x:v>
      </x:c>
      <x:c r="N55" s="4" t="str"/>
    </x:row>
    <x:row r="56" ht="55.5" customHeight="1">
      <x:c r="A56" s="1" t="str">
        <x:v>CASE-VIEW-003</x:v>
      </x:c>
      <x:c r="B56" s="1" t="str">
        <x:v>VIEW-003</x:v>
      </x:c>
      <x:c r="C56" s="1" t="str">
        <x:v>Public Viewer</x:v>
      </x:c>
      <x:c r="D56" s="1" t="str">
        <x:v>Viewer keyboard and overlays</x:v>
      </x:c>
      <x:c r="E56" s="1" t="str">
        <x:v>/view/:id</x:v>
      </x:c>
      <x:c r="F56" s="4" t="str">
        <x:v>Verify viewer keyboard and overlays follows the expected behavior: Keyboard shortcuts toggle fullscreen, mute, info, share, hints, and close overlays with Esc.</x:v>
      </x:c>
      <x:c r="G56" s="4" t="str">
        <x:v>invalid tour, invalid scene param, missing hotspot data, mobile gestures, fullscreen fallback, share/like rollback, analytics failure</x:v>
      </x:c>
      <x:c r="H56" s="4" t="str">
        <x:v>src/test/user-behaviors/viewer/public-viewer.test.tsx; e2e/public-viewer.spec.ts</x:v>
      </x:c>
      <x:c r="I56" s="1" t="str">
        <x:v>P1</x:v>
      </x:c>
      <x:c r="J56" s="1" t="str">
        <x:v>Planned</x:v>
      </x:c>
      <x:c r="K56" s="1" t="str">
        <x:v>Pending</x:v>
      </x:c>
      <x:c r="L56" s="1" t="str"/>
      <x:c r="M56" s="1" t="str">
        <x:v>Not started</x:v>
      </x:c>
      <x:c r="N56" s="4" t="str"/>
    </x:row>
    <x:row r="57" ht="55.5" customHeight="1">
      <x:c r="A57" s="1" t="str">
        <x:v>CASE-VIEW-004</x:v>
      </x:c>
      <x:c r="B57" s="1" t="str">
        <x:v>VIEW-004</x:v>
      </x:c>
      <x:c r="C57" s="1" t="str">
        <x:v>Public Viewer</x:v>
      </x:c>
      <x:c r="D57" s="1" t="str">
        <x:v>Hotspot content playback</x:v>
      </x:c>
      <x:c r="E57" s="1" t="str">
        <x:v>/view/:id</x:v>
      </x:c>
      <x:c r="F57" s="4" t="str">
        <x:v>Verify hotspot content playback follows the expected behavior: Hotspot modal renders info, audio, video, link, and custom content; custom HTML is sandboxed; link hotspots can open external URLs and close modal.</x:v>
      </x:c>
      <x:c r="G57" s="4" t="str">
        <x:v>invalid tour, invalid scene param, missing hotspot data, mobile gestures, fullscreen fallback, share/like rollback, analytics failure</x:v>
      </x:c>
      <x:c r="H57" s="4" t="str">
        <x:v>src/test/user-behaviors/viewer/public-viewer.test.tsx; e2e/public-viewer.spec.ts</x:v>
      </x:c>
      <x:c r="I57" s="1" t="str">
        <x:v>P0</x:v>
      </x:c>
      <x:c r="J57" s="1" t="str">
        <x:v>Planned</x:v>
      </x:c>
      <x:c r="K57" s="1" t="str">
        <x:v>Pending</x:v>
      </x:c>
      <x:c r="L57" s="1" t="str"/>
      <x:c r="M57" s="1" t="str">
        <x:v>Not started</x:v>
      </x:c>
      <x:c r="N57" s="4" t="str"/>
    </x:row>
    <x:row r="58" ht="55.5" customHeight="1">
      <x:c r="A58" s="1" t="str">
        <x:v>CASE-VIEW-005</x:v>
      </x:c>
      <x:c r="B58" s="1" t="str">
        <x:v>VIEW-005</x:v>
      </x:c>
      <x:c r="C58" s="1" t="str">
        <x:v>Public Viewer</x:v>
      </x:c>
      <x:c r="D58" s="1" t="str">
        <x:v>Public share and like</x:v>
      </x:c>
      <x:c r="E58" s="1" t="str">
        <x:v>/view/:id</x:v>
      </x:c>
      <x:c r="F58" s="4" t="str">
        <x:v>Verify public share and like follows the expected behavior: Viewer exposes share modal, optimistic like/unlike with rollback and double-click guard, and share tracking.</x:v>
      </x:c>
      <x:c r="G58" s="4" t="str">
        <x:v>invalid tour, invalid scene param, missing hotspot data, mobile gestures, fullscreen fallback, share/like rollback, analytics failure</x:v>
      </x:c>
      <x:c r="H58" s="4" t="str">
        <x:v>src/test/user-behaviors/viewer/public-viewer.test.tsx; e2e/public-viewer.spec.ts</x:v>
      </x:c>
      <x:c r="I58" s="1" t="str">
        <x:v>P1</x:v>
      </x:c>
      <x:c r="J58" s="1" t="str">
        <x:v>Planned</x:v>
      </x:c>
      <x:c r="K58" s="1" t="str">
        <x:v>Pending</x:v>
      </x:c>
      <x:c r="L58" s="1" t="str"/>
      <x:c r="M58" s="1" t="str">
        <x:v>Not started</x:v>
      </x:c>
      <x:c r="N58" s="4" t="str"/>
    </x:row>
    <x:row r="59" ht="55.5" customHeight="1">
      <x:c r="A59" s="1" t="str">
        <x:v>CASE-VIEW-006</x:v>
      </x:c>
      <x:c r="B59" s="1" t="str">
        <x:v>VIEW-006</x:v>
      </x:c>
      <x:c r="C59" s="1" t="str">
        <x:v>Public Viewer</x:v>
      </x:c>
      <x:c r="D59" s="1" t="str">
        <x:v>Floor plan overlay</x:v>
      </x:c>
      <x:c r="E59" s="1" t="str">
        <x:v>/view/:id</x:v>
      </x:c>
      <x:c r="F59" s="4" t="str">
        <x:v>Verify floor plan overlay follows the expected behavior: Overlay can minimize/expand, chooses the floor containing the current scene, supports floor switching, marker tooltips, and scene navigation from markers.</x:v>
      </x:c>
      <x:c r="G59" s="4" t="str">
        <x:v>invalid tour, invalid scene param, missing hotspot data, mobile gestures, fullscreen fallback, share/like rollback, analytics failure</x:v>
      </x:c>
      <x:c r="H59" s="4" t="str">
        <x:v>src/test/user-behaviors/viewer/public-viewer.test.tsx; e2e/public-viewer.spec.ts</x:v>
      </x:c>
      <x:c r="I59" s="1" t="str">
        <x:v>P1</x:v>
      </x:c>
      <x:c r="J59" s="1" t="str">
        <x:v>Planned</x:v>
      </x:c>
      <x:c r="K59" s="1" t="str">
        <x:v>Pending</x:v>
      </x:c>
      <x:c r="L59" s="1" t="str"/>
      <x:c r="M59" s="1" t="str">
        <x:v>Not started</x:v>
      </x:c>
      <x:c r="N59" s="4" t="str"/>
    </x:row>
    <x:row r="60" ht="55.5" customHeight="1">
      <x:c r="A60" s="1" t="str">
        <x:v>CASE-VIEW-007</x:v>
      </x:c>
      <x:c r="B60" s="1" t="str">
        <x:v>VIEW-007</x:v>
      </x:c>
      <x:c r="C60" s="1" t="str">
        <x:v>Public Viewer</x:v>
      </x:c>
      <x:c r="D60" s="1" t="str">
        <x:v>Public analytics tracking</x:v>
      </x:c>
      <x:c r="E60" s="1" t="str">
        <x:v>/view/:id</x:v>
      </x:c>
      <x:c r="F60" s="4" t="str">
        <x:v>Verify public analytics tracking follows the expected behavior: Public tour tracking initializes a session, tracks scene changes, shares, hotspot clicks, and likes with best-effort API calls.</x:v>
      </x:c>
      <x:c r="G60" s="4" t="str">
        <x:v>invalid tour, invalid scene param, missing hotspot data, mobile gestures, fullscreen fallback, share/like rollback, analytics failure</x:v>
      </x:c>
      <x:c r="H60" s="4" t="str">
        <x:v>src/test/stores/viewerStore.test.ts</x:v>
      </x:c>
      <x:c r="I60" s="1" t="str">
        <x:v>P2</x:v>
      </x:c>
      <x:c r="J60" s="1" t="str">
        <x:v>Implemented</x:v>
      </x:c>
      <x:c r="K60" s="1" t="str">
        <x:v>Automated pass</x:v>
      </x:c>
      <x:c r="L60" s="1" t="str">
        <x:v>DEF-007</x:v>
      </x:c>
      <x:c r="M60" s="1" t="str">
        <x:v>Retested</x:v>
      </x:c>
      <x:c r="N60" s="4" t="str">
        <x:v>Unload tracking remains best-effort and catches rejected keepalive fetches.</x:v>
      </x:c>
    </x:row>
    <x:row r="61" ht="55.5" customHeight="1">
      <x:c r="A61" s="1" t="str">
        <x:v>CASE-EMBED-001</x:v>
      </x:c>
      <x:c r="B61" s="1" t="str">
        <x:v>EMBED-001</x:v>
      </x:c>
      <x:c r="C61" s="1" t="str">
        <x:v>Embed Viewer</x:v>
      </x:c>
      <x:c r="D61" s="1" t="str">
        <x:v>Embeddable tour loading and controls</x:v>
      </x:c>
      <x:c r="E61" s="1" t="str">
        <x:v>/embed/:id</x:v>
      </x:c>
      <x:c r="F61" s="4" t="str">
        <x:v>Verify embeddable tour loading and controls follows the expected behavior: Embed viewer supports URL params for starting scene, autoplay, navbar, branding, minimal mode, autohide, fullscreen, VR, and rotation.</x:v>
      </x:c>
      <x:c r="G61" s="4" t="str">
        <x:v>invalid URL params, minimal chrome, autohide timing, postMessage origin/command handling, fullscreen fallback</x:v>
      </x:c>
      <x:c r="H61" s="4" t="str">
        <x:v>src/test/user-behaviors/viewer/embed-viewer.test.tsx; e2e/public-viewer.spec.ts</x:v>
      </x:c>
      <x:c r="I61" s="1" t="str">
        <x:v>P0</x:v>
      </x:c>
      <x:c r="J61" s="1" t="str">
        <x:v>Planned</x:v>
      </x:c>
      <x:c r="K61" s="1" t="str">
        <x:v>Pending</x:v>
      </x:c>
      <x:c r="L61" s="1" t="str"/>
      <x:c r="M61" s="1" t="str">
        <x:v>Not started</x:v>
      </x:c>
      <x:c r="N61" s="4" t="str"/>
    </x:row>
    <x:row r="62" ht="55.5" customHeight="1">
      <x:c r="A62" s="1" t="str">
        <x:v>CASE-EMBED-002</x:v>
      </x:c>
      <x:c r="B62" s="1" t="str">
        <x:v>EMBED-002</x:v>
      </x:c>
      <x:c r="C62" s="1" t="str">
        <x:v>Embed Viewer</x:v>
      </x:c>
      <x:c r="D62" s="1" t="str">
        <x:v>Parent page messaging</x:v>
      </x:c>
      <x:c r="E62" s="1" t="str">
        <x:v>/embed/:id</x:v>
      </x:c>
      <x:c r="F62" s="4" t="str">
        <x:v>Verify parent page messaging follows the expected behavior: Embed posts ready, sceneChange, hotspotClick, fullscreenChange, and error messages, and accepts goToScene, nextScene, previousScene, and toggleFullscreen from the parent/same window.</x:v>
      </x:c>
      <x:c r="G62" s="4" t="str">
        <x:v>invalid URL params, minimal chrome, autohide timing, postMessage origin/command handling, fullscreen fallback</x:v>
      </x:c>
      <x:c r="H62" s="4" t="str">
        <x:v>src/test/user-behaviors/viewer/embed-viewer.test.tsx; e2e/public-viewer.spec.ts</x:v>
      </x:c>
      <x:c r="I62" s="1" t="str">
        <x:v>P1</x:v>
      </x:c>
      <x:c r="J62" s="1" t="str">
        <x:v>Planned</x:v>
      </x:c>
      <x:c r="K62" s="1" t="str">
        <x:v>Pending</x:v>
      </x:c>
      <x:c r="L62" s="1" t="str"/>
      <x:c r="M62" s="1" t="str">
        <x:v>Not started</x:v>
      </x:c>
      <x:c r="N62" s="4" t="str"/>
    </x:row>
    <x:row r="63" ht="55.5" customHeight="1">
      <x:c r="A63" s="1" t="str">
        <x:v>CASE-EMBED-003</x:v>
      </x:c>
      <x:c r="B63" s="1" t="str">
        <x:v>EMBED-003</x:v>
      </x:c>
      <x:c r="C63" s="1" t="str">
        <x:v>Embed Viewer</x:v>
      </x:c>
      <x:c r="D63" s="1" t="str">
        <x:v>Minimal and autohide chrome</x:v>
      </x:c>
      <x:c r="E63" s="1" t="str">
        <x:v>/embed/:id</x:v>
      </x:c>
      <x:c r="F63" s="4" t="str">
        <x:v>Verify minimal and autohide chrome follows the expected behavior: Embed hides or minimizes chrome based on params, auto-hides controls after inactivity, and keeps arrows/counter available in minimal mode.</x:v>
      </x:c>
      <x:c r="G63" s="4" t="str">
        <x:v>invalid URL params, minimal chrome, autohide timing, postMessage origin/command handling, fullscreen fallback</x:v>
      </x:c>
      <x:c r="H63" s="4" t="str">
        <x:v>src/test/user-behaviors/viewer/embed-viewer.test.tsx; e2e/public-viewer.spec.ts</x:v>
      </x:c>
      <x:c r="I63" s="1" t="str">
        <x:v>P1</x:v>
      </x:c>
      <x:c r="J63" s="1" t="str">
        <x:v>Planned</x:v>
      </x:c>
      <x:c r="K63" s="1" t="str">
        <x:v>Pending</x:v>
      </x:c>
      <x:c r="L63" s="1" t="str"/>
      <x:c r="M63" s="1" t="str">
        <x:v>Not started</x:v>
      </x:c>
      <x:c r="N63" s="4" t="str"/>
    </x:row>
    <x:row r="64" ht="55.5" customHeight="1">
      <x:c r="A64" s="1" t="str">
        <x:v>CASE-LOCAL-001</x:v>
      </x:c>
      <x:c r="B64" s="1" t="str">
        <x:v>LOCAL-001</x:v>
      </x:c>
      <x:c r="C64" s="1" t="str">
        <x:v>Local Harness</x:v>
      </x:c>
      <x:c r="D64" s="1" t="str">
        <x:v>Local seed tour rendering</x:v>
      </x:c>
      <x:c r="E64" s="1" t="str">
        <x:v>/local/:propertyId</x:v>
      </x:c>
      <x:c r="F64" s="4" t="str">
        <x:v>Verify local seed tour rendering follows the expected behavior: Local route loads seed_properties/:propertyId/tour.json, converts rooms/hotspots to app scenes, renders a local tour, and shows actionable errors when seed data is missing.</x:v>
      </x:c>
      <x:c r="G64" s="4" t="str">
        <x:v>missing seed data, malformed tour JSON, calibration query param, hotspot coordinate capture</x:v>
      </x:c>
      <x:c r="H64" s="4" t="str">
        <x:v>src/test/user-behaviors/viewer/local-tour.test.tsx</x:v>
      </x:c>
      <x:c r="I64" s="1" t="str">
        <x:v>P3</x:v>
      </x:c>
      <x:c r="J64" s="1" t="str">
        <x:v>Planned</x:v>
      </x:c>
      <x:c r="K64" s="1" t="str">
        <x:v>Pending</x:v>
      </x:c>
      <x:c r="L64" s="1" t="str"/>
      <x:c r="M64" s="1" t="str">
        <x:v>Not started</x:v>
      </x:c>
      <x:c r="N64" s="4" t="str"/>
    </x:row>
    <x:row r="65" ht="55.5" customHeight="1">
      <x:c r="A65" s="1" t="str">
        <x:v>CASE-LOCAL-002</x:v>
      </x:c>
      <x:c r="B65" s="1" t="str">
        <x:v>LOCAL-002</x:v>
      </x:c>
      <x:c r="C65" s="1" t="str">
        <x:v>Local Harness</x:v>
      </x:c>
      <x:c r="D65" s="1" t="str">
        <x:v>Calibration mode</x:v>
      </x:c>
      <x:c r="E65" s="1" t="str">
        <x:v>/local/:propertyId?calibrate=1</x:v>
      </x:c>
      <x:c r="F65" s="4" t="str">
        <x:v>Verify calibration mode follows the expected behavior: Adding ?calibrate=1 enables click capture with on-screen yaw/pitch readout and console output while preserving navigation controls.</x:v>
      </x:c>
      <x:c r="G65" s="4" t="str">
        <x:v>missing seed data, malformed tour JSON, calibration query param, hotspot coordinate capture</x:v>
      </x:c>
      <x:c r="H65" s="4" t="str">
        <x:v>src/test/user-behaviors/viewer/local-tour.test.tsx</x:v>
      </x:c>
      <x:c r="I65" s="1" t="str">
        <x:v>P3</x:v>
      </x:c>
      <x:c r="J65" s="1" t="str">
        <x:v>Planned</x:v>
      </x:c>
      <x:c r="K65" s="1" t="str">
        <x:v>Pending</x:v>
      </x:c>
      <x:c r="L65" s="1" t="str"/>
      <x:c r="M65" s="1" t="str">
        <x:v>Not started</x:v>
      </x:c>
      <x:c r="N65" s="4" t="str"/>
    </x:row>
    <x:row r="66" ht="55.5" customHeight="1">
      <x:c r="A66" s="1" t="str">
        <x:v>CASE-MEDIA-001</x:v>
      </x:c>
      <x:c r="B66" s="1" t="str">
        <x:v>MEDIA-001</x:v>
      </x:c>
      <x:c r="C66" s="1" t="str">
        <x:v>Media Library</x:v>
      </x:c>
      <x:c r="D66" s="1" t="str">
        <x:v>Media search, type filter, pagination</x:v>
      </x:c>
      <x:c r="E66" s="1" t="str">
        <x:v>/media</x:v>
      </x:c>
      <x:c r="F66" s="4" t="str">
        <x:v>Verify media search, type filter, pagination follows the expected behavior: Media library fetches cursor-paginated media, debounces search, filters by mime type, and clears selections when the page changes.</x:v>
      </x:c>
      <x:c r="G66" s="4" t="str">
        <x:v>empty media, search/filter reset, pagination selection clearing, unsupported preview, partial bulk delete failure</x:v>
      </x:c>
      <x:c r="H66" s="4" t="str">
        <x:v>src/test/user-behaviors/media/media-library.test.tsx</x:v>
      </x:c>
      <x:c r="I66" s="1" t="str">
        <x:v>P1</x:v>
      </x:c>
      <x:c r="J66" s="1" t="str">
        <x:v>Planned</x:v>
      </x:c>
      <x:c r="K66" s="1" t="str">
        <x:v>Pending</x:v>
      </x:c>
      <x:c r="L66" s="1" t="str"/>
      <x:c r="M66" s="1" t="str">
        <x:v>Not started</x:v>
      </x:c>
      <x:c r="N66" s="4" t="str"/>
    </x:row>
    <x:row r="67" ht="55.5" customHeight="1">
      <x:c r="A67" s="1" t="str">
        <x:v>CASE-MEDIA-002</x:v>
      </x:c>
      <x:c r="B67" s="1" t="str">
        <x:v>MEDIA-002</x:v>
      </x:c>
      <x:c r="C67" s="1" t="str">
        <x:v>Media Library</x:v>
      </x:c>
      <x:c r="D67" s="1" t="str">
        <x:v>Grid/list preview and download</x:v>
      </x:c>
      <x:c r="E67" s="1" t="str">
        <x:v>/media</x:v>
      </x:c>
      <x:c r="F67" s="4" t="str">
        <x:v>Verify grid/list preview and download follows the expected behavior: Media can be browsed in grid or list mode; preview modal renders image/video/other file types and download links.</x:v>
      </x:c>
      <x:c r="G67" s="4" t="str">
        <x:v>empty media, search/filter reset, pagination selection clearing, unsupported preview, partial bulk delete failure</x:v>
      </x:c>
      <x:c r="H67" s="4" t="str">
        <x:v>src/test/user-behaviors/media/media-library.test.tsx</x:v>
      </x:c>
      <x:c r="I67" s="1" t="str">
        <x:v>P1</x:v>
      </x:c>
      <x:c r="J67" s="1" t="str">
        <x:v>Planned</x:v>
      </x:c>
      <x:c r="K67" s="1" t="str">
        <x:v>Pending</x:v>
      </x:c>
      <x:c r="L67" s="1" t="str"/>
      <x:c r="M67" s="1" t="str">
        <x:v>Not started</x:v>
      </x:c>
      <x:c r="N67" s="4" t="str"/>
    </x:row>
    <x:row r="68" ht="55.5" customHeight="1">
      <x:c r="A68" s="1" t="str">
        <x:v>CASE-MEDIA-003</x:v>
      </x:c>
      <x:c r="B68" s="1" t="str">
        <x:v>MEDIA-003</x:v>
      </x:c>
      <x:c r="C68" s="1" t="str">
        <x:v>Media Library</x:v>
      </x:c>
      <x:c r="D68" s="1" t="str">
        <x:v>Bulk and single delete</x:v>
      </x:c>
      <x:c r="E68" s="1" t="str">
        <x:v>/media</x:v>
      </x:c>
      <x:c r="F68" s="4" t="str">
        <x:v>Verify bulk and single delete follows the expected behavior: Users can select individual/all visible files, bulk delete with confirmation, clear selection, or delete single items with confirmation and partial-failure handling.</x:v>
      </x:c>
      <x:c r="G68" s="4" t="str">
        <x:v>empty media, search/filter reset, pagination selection clearing, unsupported preview, partial bulk delete failure</x:v>
      </x:c>
      <x:c r="H68" s="4" t="str">
        <x:v>src/test/user-behaviors/media/media-library.test.tsx</x:v>
      </x:c>
      <x:c r="I68" s="1" t="str">
        <x:v>P1</x:v>
      </x:c>
      <x:c r="J68" s="1" t="str">
        <x:v>Planned</x:v>
      </x:c>
      <x:c r="K68" s="1" t="str">
        <x:v>Pending</x:v>
      </x:c>
      <x:c r="L68" s="1" t="str"/>
      <x:c r="M68" s="1" t="str">
        <x:v>Not started</x:v>
      </x:c>
      <x:c r="N68" s="4" t="str"/>
    </x:row>
    <x:row r="69" ht="55.5" customHeight="1">
      <x:c r="A69" s="1" t="str">
        <x:v>CASE-ANALYTICS-001</x:v>
      </x:c>
      <x:c r="B69" s="1" t="str">
        <x:v>ANALYTICS-001</x:v>
      </x:c>
      <x:c r="C69" s="1" t="str">
        <x:v>Analytics</x:v>
      </x:c>
      <x:c r="D69" s="1" t="str">
        <x:v>Account analytics overview</x:v>
      </x:c>
      <x:c r="E69" s="1" t="str">
        <x:v>/analytics</x:v>
      </x:c>
      <x:c r="F69" s="4" t="str">
        <x:v>Verify account analytics overview follows the expected behavior: Analytics page loads overview stats, published tours, selected tour details, charts for daily views/device/countries/scenes, and loading/error/empty states.</x:v>
      </x:c>
      <x:c r="G69" s="4" t="str">
        <x:v>no published tours, date range changes, export failure, empty charts, heatmap scene without data</x:v>
      </x:c>
      <x:c r="H69" s="4" t="str">
        <x:v>src/test/user-behaviors/analytics/analytics.test.tsx</x:v>
      </x:c>
      <x:c r="I69" s="1" t="str">
        <x:v>P1</x:v>
      </x:c>
      <x:c r="J69" s="1" t="str">
        <x:v>Planned</x:v>
      </x:c>
      <x:c r="K69" s="1" t="str">
        <x:v>Pending</x:v>
      </x:c>
      <x:c r="L69" s="1" t="str"/>
      <x:c r="M69" s="1" t="str">
        <x:v>Not started</x:v>
      </x:c>
      <x:c r="N69" s="4" t="str"/>
    </x:row>
    <x:row r="70" ht="55.5" customHeight="1">
      <x:c r="A70" s="1" t="str">
        <x:v>CASE-ANALYTICS-002</x:v>
      </x:c>
      <x:c r="B70" s="1" t="str">
        <x:v>ANALYTICS-002</x:v>
      </x:c>
      <x:c r="C70" s="1" t="str">
        <x:v>Analytics</x:v>
      </x:c>
      <x:c r="D70" s="1" t="str">
        <x:v>Published tour selector</x:v>
      </x:c>
      <x:c r="E70" s="1" t="str">
        <x:v>/analytics</x:v>
      </x:c>
      <x:c r="F70" s="4" t="str">
        <x:v>Verify published tour selector follows the expected behavior: Analytics auto-selects the first published tour and updates selected tour charts/table when the selection changes.</x:v>
      </x:c>
      <x:c r="G70" s="4" t="str">
        <x:v>no published tours, date range changes, export failure, empty charts, heatmap scene without data</x:v>
      </x:c>
      <x:c r="H70" s="4" t="str">
        <x:v>src/test/user-behaviors/analytics/analytics.test.tsx</x:v>
      </x:c>
      <x:c r="I70" s="1" t="str">
        <x:v>P1</x:v>
      </x:c>
      <x:c r="J70" s="1" t="str">
        <x:v>Planned</x:v>
      </x:c>
      <x:c r="K70" s="1" t="str">
        <x:v>Pending</x:v>
      </x:c>
      <x:c r="L70" s="1" t="str"/>
      <x:c r="M70" s="1" t="str">
        <x:v>Not started</x:v>
      </x:c>
      <x:c r="N70" s="4" t="str"/>
    </x:row>
    <x:row r="71" ht="55.5" customHeight="1">
      <x:c r="A71" s="1" t="str">
        <x:v>CASE-ANALYTICS-003</x:v>
      </x:c>
      <x:c r="B71" s="1" t="str">
        <x:v>ANALYTICS-003</x:v>
      </x:c>
      <x:c r="C71" s="1" t="str">
        <x:v>Analytics</x:v>
      </x:c>
      <x:c r="D71" s="1" t="str">
        <x:v>CSV export</x:v>
      </x:c>
      <x:c r="E71" s="1" t="str">
        <x:v>/analytics; /tours/:id/analytics</x:v>
      </x:c>
      <x:c r="F71" s="4" t="str">
        <x:v>Verify csv export follows the expected behavior: Analytics export creates CSV from the selected dataset and gives success/error feedback.</x:v>
      </x:c>
      <x:c r="G71" s="4" t="str">
        <x:v>no published tours, date range changes, export failure, empty charts, heatmap scene without data</x:v>
      </x:c>
      <x:c r="H71" s="4" t="str">
        <x:v>src/test/user-behaviors/analytics/analytics.test.tsx</x:v>
      </x:c>
      <x:c r="I71" s="1" t="str">
        <x:v>P2</x:v>
      </x:c>
      <x:c r="J71" s="1" t="str">
        <x:v>Planned</x:v>
      </x:c>
      <x:c r="K71" s="1" t="str">
        <x:v>Pending</x:v>
      </x:c>
      <x:c r="L71" s="1" t="str"/>
      <x:c r="M71" s="1" t="str">
        <x:v>Not started</x:v>
      </x:c>
      <x:c r="N71" s="4" t="str"/>
    </x:row>
    <x:row r="72" ht="55.5" customHeight="1">
      <x:c r="A72" s="1" t="str">
        <x:v>CASE-ANALYTICS-004</x:v>
      </x:c>
      <x:c r="B72" s="1" t="str">
        <x:v>ANALYTICS-004</x:v>
      </x:c>
      <x:c r="C72" s="1" t="str">
        <x:v>Analytics</x:v>
      </x:c>
      <x:c r="D72" s="1" t="str">
        <x:v>Per-tour analytics and date range</x:v>
      </x:c>
      <x:c r="E72" s="1" t="str">
        <x:v>/tours/:id/analytics</x:v>
      </x:c>
      <x:c r="F72" s="4" t="str">
        <x:v>Verify per-tour analytics and date range follows the expected behavior: Tour analytics loads tour/scenes/analytics for a date range, supports CSV/JSON export, and shows stats, daily views, device/country charts, scene performance, and hotspot engagement.</x:v>
      </x:c>
      <x:c r="G72" s="4" t="str">
        <x:v>no published tours, date range changes, export failure, empty charts, heatmap scene without data</x:v>
      </x:c>
      <x:c r="H72" s="4" t="str">
        <x:v>src/test/user-behaviors/analytics/analytics.test.tsx</x:v>
      </x:c>
      <x:c r="I72" s="1" t="str">
        <x:v>P1</x:v>
      </x:c>
      <x:c r="J72" s="1" t="str">
        <x:v>Planned</x:v>
      </x:c>
      <x:c r="K72" s="1" t="str">
        <x:v>Pending</x:v>
      </x:c>
      <x:c r="L72" s="1" t="str"/>
      <x:c r="M72" s="1" t="str">
        <x:v>Not started</x:v>
      </x:c>
      <x:c r="N72" s="4" t="str"/>
    </x:row>
    <x:row r="73" ht="55.5" customHeight="1">
      <x:c r="A73" s="1" t="str">
        <x:v>CASE-ANALYTICS-005</x:v>
      </x:c>
      <x:c r="B73" s="1" t="str">
        <x:v>ANALYTICS-005</x:v>
      </x:c>
      <x:c r="C73" s="1" t="str">
        <x:v>Analytics</x:v>
      </x:c>
      <x:c r="D73" s="1" t="str">
        <x:v>Heatmap visualization</x:v>
      </x:c>
      <x:c r="E73" s="1" t="str">
        <x:v>/tours/:id/analytics</x:v>
      </x:c>
      <x:c r="F73" s="4" t="str">
        <x:v>Verify heatmap visualization follows the expected behavior: Tour analytics loads heatmap data, lets users choose a scene, and renders scatter activity plus metrics table with empty states.</x:v>
      </x:c>
      <x:c r="G73" s="4" t="str">
        <x:v>no published tours, date range changes, export failure, empty charts, heatmap scene without data</x:v>
      </x:c>
      <x:c r="H73" s="4" t="str">
        <x:v>src/test/user-behaviors/analytics/analytics.test.tsx</x:v>
      </x:c>
      <x:c r="I73" s="1" t="str">
        <x:v>P2</x:v>
      </x:c>
      <x:c r="J73" s="1" t="str">
        <x:v>Planned</x:v>
      </x:c>
      <x:c r="K73" s="1" t="str">
        <x:v>Pending</x:v>
      </x:c>
      <x:c r="L73" s="1" t="str"/>
      <x:c r="M73" s="1" t="str">
        <x:v>Not started</x:v>
      </x:c>
      <x:c r="N73" s="4" t="str"/>
    </x:row>
    <x:row r="74" ht="55.5" customHeight="1">
      <x:c r="A74" s="1" t="str">
        <x:v>CASE-PROFILE-001</x:v>
      </x:c>
      <x:c r="B74" s="1" t="str">
        <x:v>PROFILE-001</x:v>
      </x:c>
      <x:c r="C74" s="1" t="str">
        <x:v>Profile</x:v>
      </x:c>
      <x:c r="D74" s="1" t="str">
        <x:v>Profile editing</x:v>
      </x:c>
      <x:c r="E74" s="1" t="str">
        <x:v>/profile</x:v>
      </x:c>
      <x:c r="F74" s="4" t="str">
        <x:v>Verify profile editing follows the expected behavior: Profile page edits full name and phone, keeps email read-only, shows role/status badges, disables save until dirty, and updates user data.</x:v>
      </x:c>
      <x:c r="G74" s="4" t="str">
        <x:v>unchanged save disabled, invalid phone, avatar upload failure, backend update failure, read-only account fields</x:v>
      </x:c>
      <x:c r="H74" s="4" t="str">
        <x:v>src/test/user-behaviors/account/profile-settings.test.tsx</x:v>
      </x:c>
      <x:c r="I74" s="1" t="str">
        <x:v>P1</x:v>
      </x:c>
      <x:c r="J74" s="1" t="str">
        <x:v>Planned</x:v>
      </x:c>
      <x:c r="K74" s="1" t="str">
        <x:v>Pending</x:v>
      </x:c>
      <x:c r="L74" s="1" t="str"/>
      <x:c r="M74" s="1" t="str">
        <x:v>Not started</x:v>
      </x:c>
      <x:c r="N74" s="4" t="str"/>
    </x:row>
    <x:row r="75" ht="55.5" customHeight="1">
      <x:c r="A75" s="1" t="str">
        <x:v>CASE-PROFILE-002</x:v>
      </x:c>
      <x:c r="B75" s="1" t="str">
        <x:v>PROFILE-002</x:v>
      </x:c>
      <x:c r="C75" s="1" t="str">
        <x:v>Profile</x:v>
      </x:c>
      <x:c r="D75" s="1" t="str">
        <x:v>Avatar upload</x:v>
      </x:c>
      <x:c r="E75" s="1" t="str">
        <x:v>/profile</x:v>
      </x:c>
      <x:c r="F75" s="4" t="str">
        <x:v>Verify avatar upload follows the expected behavior: Avatar upload sends selected image to user API, shows loading overlay, updates preview, and handles errors.</x:v>
      </x:c>
      <x:c r="G75" s="4" t="str">
        <x:v>unchanged save disabled, invalid phone, avatar upload failure, backend update failure, read-only account fields</x:v>
      </x:c>
      <x:c r="H75" s="4" t="str">
        <x:v>src/test/user-behaviors/account/profile-settings.test.tsx</x:v>
      </x:c>
      <x:c r="I75" s="1" t="str">
        <x:v>P2</x:v>
      </x:c>
      <x:c r="J75" s="1" t="str">
        <x:v>Planned</x:v>
      </x:c>
      <x:c r="K75" s="1" t="str">
        <x:v>Pending</x:v>
      </x:c>
      <x:c r="L75" s="1" t="str"/>
      <x:c r="M75" s="1" t="str">
        <x:v>Not started</x:v>
      </x:c>
      <x:c r="N75" s="4" t="str"/>
    </x:row>
    <x:row r="76" ht="55.5" customHeight="1">
      <x:c r="A76" s="1" t="str">
        <x:v>CASE-SETTINGS-001</x:v>
      </x:c>
      <x:c r="B76" s="1" t="str">
        <x:v>SETTINGS-001</x:v>
      </x:c>
      <x:c r="C76" s="1" t="str">
        <x:v>Settings</x:v>
      </x:c>
      <x:c r="D76" s="1" t="str">
        <x:v>Theme preference</x:v>
      </x:c>
      <x:c r="E76" s="1" t="str">
        <x:v>/settings</x:v>
      </x:c>
      <x:c r="F76" s="4" t="str">
        <x:v>Verify theme preference follows the expected behavior: Settings updates the persisted UI theme and applies it immediately, including system preference listeners.</x:v>
      </x:c>
      <x:c r="G76" s="4" t="str">
        <x:v>theme persistence/system listener, notification toggle persistence, password mismatch, auth failure, delete guidance</x:v>
      </x:c>
      <x:c r="H76" s="4" t="str">
        <x:v>src/test/user-behaviors/account/profile-settings.test.tsx</x:v>
      </x:c>
      <x:c r="I76" s="1" t="str">
        <x:v>P1</x:v>
      </x:c>
      <x:c r="J76" s="1" t="str">
        <x:v>Planned</x:v>
      </x:c>
      <x:c r="K76" s="1" t="str">
        <x:v>Pending</x:v>
      </x:c>
      <x:c r="L76" s="1" t="str"/>
      <x:c r="M76" s="1" t="str">
        <x:v>Not started</x:v>
      </x:c>
      <x:c r="N76" s="4" t="str"/>
    </x:row>
    <x:row r="77" ht="55.5" customHeight="1">
      <x:c r="A77" s="1" t="str">
        <x:v>CASE-SETTINGS-002</x:v>
      </x:c>
      <x:c r="B77" s="1" t="str">
        <x:v>SETTINGS-002</x:v>
      </x:c>
      <x:c r="C77" s="1" t="str">
        <x:v>Settings</x:v>
      </x:c>
      <x:c r="D77" s="1" t="str">
        <x:v>Notification preferences</x:v>
      </x:c>
      <x:c r="E77" s="1" t="str">
        <x:v>/settings</x:v>
      </x:c>
      <x:c r="F77" s="4" t="str">
        <x:v>Verify notification preferences follows the expected behavior: Notification toggles update local settings state and show autosave-style behavior.</x:v>
      </x:c>
      <x:c r="G77" s="4" t="str">
        <x:v>theme persistence/system listener, notification toggle persistence, password mismatch, auth failure, delete guidance</x:v>
      </x:c>
      <x:c r="H77" s="4" t="str">
        <x:v>src/test/user-behaviors/account/profile-settings.test.tsx</x:v>
      </x:c>
      <x:c r="I77" s="1" t="str">
        <x:v>P2</x:v>
      </x:c>
      <x:c r="J77" s="1" t="str">
        <x:v>Planned</x:v>
      </x:c>
      <x:c r="K77" s="1" t="str">
        <x:v>Pending</x:v>
      </x:c>
      <x:c r="L77" s="1" t="str"/>
      <x:c r="M77" s="1" t="str">
        <x:v>Not started</x:v>
      </x:c>
      <x:c r="N77" s="4" t="str"/>
    </x:row>
    <x:row r="78" ht="55.5" customHeight="1">
      <x:c r="A78" s="1" t="str">
        <x:v>CASE-SETTINGS-003</x:v>
      </x:c>
      <x:c r="B78" s="1" t="str">
        <x:v>SETTINGS-003</x:v>
      </x:c>
      <x:c r="C78" s="1" t="str">
        <x:v>Settings</x:v>
      </x:c>
      <x:c r="D78" s="1" t="str">
        <x:v>Password change</x:v>
      </x:c>
      <x:c r="E78" s="1" t="str">
        <x:v>/settings</x:v>
      </x:c>
      <x:c r="F78" s="4" t="str">
        <x:v>Verify password change follows the expected behavior: Settings requires current password, new password, confirmation match, supports show/hide controls, and calls re-authentication plus update password.</x:v>
      </x:c>
      <x:c r="G78" s="4" t="str">
        <x:v>theme persistence/system listener, notification toggle persistence, password mismatch, auth failure, delete guidance</x:v>
      </x:c>
      <x:c r="H78" s="4" t="str">
        <x:v>src/test/user-behaviors/account/profile-settings.test.tsx</x:v>
      </x:c>
      <x:c r="I78" s="1" t="str">
        <x:v>P1</x:v>
      </x:c>
      <x:c r="J78" s="1" t="str">
        <x:v>Planned</x:v>
      </x:c>
      <x:c r="K78" s="1" t="str">
        <x:v>Pending</x:v>
      </x:c>
      <x:c r="L78" s="1" t="str"/>
      <x:c r="M78" s="1" t="str">
        <x:v>Not started</x:v>
      </x:c>
      <x:c r="N78" s="4" t="str"/>
    </x:row>
    <x:row r="79" ht="55.5" customHeight="1">
      <x:c r="A79" s="1" t="str">
        <x:v>CASE-SETTINGS-004</x:v>
      </x:c>
      <x:c r="B79" s="1" t="str">
        <x:v>SETTINGS-004</x:v>
      </x:c>
      <x:c r="C79" s="1" t="str">
        <x:v>Settings</x:v>
      </x:c>
      <x:c r="D79" s="1" t="str">
        <x:v>Account deletion guidance</x:v>
      </x:c>
      <x:c r="E79" s="1" t="str">
        <x:v>/settings</x:v>
      </x:c>
      <x:c r="F79" s="4" t="str">
        <x:v>Verify account deletion guidance follows the expected behavior: Delete account area communicates that users must contact support rather than offering an unsafe client-only destructive action.</x:v>
      </x:c>
      <x:c r="G79" s="4" t="str">
        <x:v>theme persistence/system listener, notification toggle persistence, password mismatch, auth failure, delete guidance</x:v>
      </x:c>
      <x:c r="H79" s="4" t="str">
        <x:v>src/test/user-behaviors/account/profile-settings.test.tsx</x:v>
      </x:c>
      <x:c r="I79" s="1" t="str">
        <x:v>P3</x:v>
      </x:c>
      <x:c r="J79" s="1" t="str">
        <x:v>Planned</x:v>
      </x:c>
      <x:c r="K79" s="1" t="str">
        <x:v>Pending</x:v>
      </x:c>
      <x:c r="L79" s="1" t="str"/>
      <x:c r="M79" s="1" t="str">
        <x:v>Not started</x:v>
      </x:c>
      <x:c r="N79" s="4" t="str"/>
    </x:row>
    <x:row r="80" ht="55.5" customHeight="1">
      <x:c r="A80" s="1" t="str">
        <x:v>CASE-API-001</x:v>
      </x:c>
      <x:c r="B80" s="1" t="str">
        <x:v>API-001</x:v>
      </x:c>
      <x:c r="C80" s="1" t="str">
        <x:v>API Contracts</x:v>
      </x:c>
      <x:c r="D80" s="1" t="str">
        <x:v>Tour and scene API coverage</x:v>
      </x:c>
      <x:c r="E80" s="1" t="str">
        <x:v>API layer</x:v>
      </x:c>
      <x:c r="F80" s="4" t="str">
        <x:v>Verify tour and scene api coverage follows the expected behavior: Tour API exposes CRUD, publish/unpublish, duplicate, scenes, hotspots, public views/events/likes, floor plans, dashboard stats, analytics, realtime metrics, and heatmaps.</x:v>
      </x:c>
      <x:c r="G80" s="4" t="str">
        <x:v>auth refresh, rate-limit retry, network/server failure, payload shape drift, cursor parameters, partial failures</x:v>
      </x:c>
      <x:c r="H80" s="4" t="str">
        <x:v>src/test/api/toursContract.test.ts; src/test/integration/api.test.tsx</x:v>
      </x:c>
      <x:c r="I80" s="1" t="str">
        <x:v>P0</x:v>
      </x:c>
      <x:c r="J80" s="1" t="str">
        <x:v>Implemented</x:v>
      </x:c>
      <x:c r="K80" s="1" t="str">
        <x:v>Automated pass</x:v>
      </x:c>
      <x:c r="L80" s="1" t="str"/>
      <x:c r="M80" s="1" t="str">
        <x:v>Not needed</x:v>
      </x:c>
      <x:c r="N80" s="4" t="str">
        <x:v>Tour API contract and selected integration behavior are covered by the automated suite.</x:v>
      </x:c>
    </x:row>
    <x:row r="81" ht="55.5" customHeight="1">
      <x:c r="A81" s="1" t="str">
        <x:v>CASE-API-002</x:v>
      </x:c>
      <x:c r="B81" s="1" t="str">
        <x:v>API-002</x:v>
      </x:c>
      <x:c r="C81" s="1" t="str">
        <x:v>API Contracts</x:v>
      </x:c>
      <x:c r="D81" s="1" t="str">
        <x:v>Upload API coverage</x:v>
      </x:c>
      <x:c r="E81" s="1" t="str">
        <x:v>API layer</x:v>
      </x:c>
      <x:c r="F81" s="4" t="str">
        <x:v>Verify upload api coverage follows the expected behavior: Upload API uploads single/batch files with progress, lists media with cursor params, deletes single media, and bulk-deletes with partial failure reporting.</x:v>
      </x:c>
      <x:c r="G81" s="4" t="str">
        <x:v>auth refresh, rate-limit retry, network/server failure, payload shape drift, cursor parameters, partial failures</x:v>
      </x:c>
      <x:c r="H81" s="4" t="str">
        <x:v>src/test/api/*.test.ts; src/test/integration/api.test.tsx</x:v>
      </x:c>
      <x:c r="I81" s="1" t="str">
        <x:v>P0</x:v>
      </x:c>
      <x:c r="J81" s="1" t="str">
        <x:v>Planned</x:v>
      </x:c>
      <x:c r="K81" s="1" t="str">
        <x:v>Pending</x:v>
      </x:c>
      <x:c r="L81" s="1" t="str"/>
      <x:c r="M81" s="1" t="str">
        <x:v>Not started</x:v>
      </x:c>
      <x:c r="N81" s="4" t="str"/>
    </x:row>
    <x:row r="82" ht="55.5" customHeight="1">
      <x:c r="A82" s="1" t="str">
        <x:v>CASE-API-003</x:v>
      </x:c>
      <x:c r="B82" s="1" t="str">
        <x:v>API-003</x:v>
      </x:c>
      <x:c r="C82" s="1" t="str">
        <x:v>API Contracts</x:v>
      </x:c>
      <x:c r="D82" s="1" t="str">
        <x:v>AI API coverage</x:v>
      </x:c>
      <x:c r="E82" s="1" t="str">
        <x:v>API layer</x:v>
      </x:c>
      <x:c r="F82" s="4" t="str">
        <x:v>Verify ai api coverage follows the expected behavior: AI API starts jobs, uploads inputs where needed, polls status, cancels jobs, lists jobs, and applies suggestions.</x:v>
      </x:c>
      <x:c r="G82" s="4" t="str">
        <x:v>auth refresh, rate-limit retry, network/server failure, payload shape drift, cursor parameters, partial failures</x:v>
      </x:c>
      <x:c r="H82" s="4" t="str">
        <x:v>src/test/api/*.test.ts; src/test/integration/api.test.tsx</x:v>
      </x:c>
      <x:c r="I82" s="1" t="str">
        <x:v>P1</x:v>
      </x:c>
      <x:c r="J82" s="1" t="str">
        <x:v>Planned</x:v>
      </x:c>
      <x:c r="K82" s="1" t="str">
        <x:v>Pending</x:v>
      </x:c>
      <x:c r="L82" s="1" t="str"/>
      <x:c r="M82" s="1" t="str">
        <x:v>Not started</x:v>
      </x:c>
      <x:c r="N82" s="4" t="str"/>
    </x:row>
    <x:row r="83" ht="55.5" customHeight="1">
      <x:c r="A83" s="1" t="str">
        <x:v>CASE-API-004</x:v>
      </x:c>
      <x:c r="B83" s="1" t="str">
        <x:v>API-004</x:v>
      </x:c>
      <x:c r="C83" s="1" t="str">
        <x:v>API Contracts</x:v>
      </x:c>
      <x:c r="D83" s="1" t="str">
        <x:v>Collaboration API coverage</x:v>
      </x:c>
      <x:c r="E83" s="1" t="str">
        <x:v>API layer</x:v>
      </x:c>
      <x:c r="F83" s="4" t="str">
        <x:v>Verify collaboration api coverage follows the expected behavior: Collaboration API fetches activities/collaborators and invites/removes collaborators through the collaboration store.</x:v>
      </x:c>
      <x:c r="G83" s="4" t="str">
        <x:v>auth refresh, rate-limit retry, network/server failure, payload shape drift, cursor parameters, partial failures</x:v>
      </x:c>
      <x:c r="H83" s="4" t="str">
        <x:v>src/test/api/*.test.ts; src/test/integration/api.test.tsx</x:v>
      </x:c>
      <x:c r="I83" s="1" t="str">
        <x:v>P2</x:v>
      </x:c>
      <x:c r="J83" s="1" t="str">
        <x:v>Planned</x:v>
      </x:c>
      <x:c r="K83" s="1" t="str">
        <x:v>Pending</x:v>
      </x:c>
      <x:c r="L83" s="1" t="str"/>
      <x:c r="M83" s="1" t="str">
        <x:v>Not started</x:v>
      </x:c>
      <x:c r="N83" s="4" t="str"/>
    </x:row>
    <x:row r="84" ht="55.5" customHeight="1">
      <x:c r="A84" s="1" t="str">
        <x:v>CASE-UTIL-001</x:v>
      </x:c>
      <x:c r="B84" s="1" t="str">
        <x:v>UTIL-001</x:v>
      </x:c>
      <x:c r="C84" s="1" t="str">
        <x:v>Utilities</x:v>
      </x:c>
      <x:c r="D84" s="1" t="str">
        <x:v>Validation utilities</x:v>
      </x:c>
      <x:c r="E84" s="1" t="str">
        <x:v>Shared utilities</x:v>
      </x:c>
      <x:c r="F84" s="4" t="str">
        <x:v>Verify validation utilities follows the expected behavior: Validation helpers check image files, phone/email/password-like inputs, and surface user-friendly messages.</x:v>
      </x:c>
      <x:c r="G84" s="4" t="str">
        <x:v>boundary values, invalid types, malformed URLs, timezone-sensitive dates, clipboard/download fallback</x:v>
      </x:c>
      <x:c r="H84" s="4" t="str">
        <x:v>src/test/utils/validation.test.ts</x:v>
      </x:c>
      <x:c r="I84" s="1" t="str">
        <x:v>P1</x:v>
      </x:c>
      <x:c r="J84" s="1" t="str">
        <x:v>Implemented</x:v>
      </x:c>
      <x:c r="K84" s="1" t="str">
        <x:v>Automated pass</x:v>
      </x:c>
      <x:c r="L84" s="1" t="str"/>
      <x:c r="M84" s="1" t="str">
        <x:v>Not needed</x:v>
      </x:c>
      <x:c r="N84" s="4" t="str">
        <x:v>Validation tests cover image/file limits, phone/email/password-like inputs, schemas, and edge cases.</x:v>
      </x:c>
    </x:row>
    <x:row r="85" ht="55.5" customHeight="1">
      <x:c r="A85" s="1" t="str">
        <x:v>CASE-UTIL-002</x:v>
      </x:c>
      <x:c r="B85" s="1" t="str">
        <x:v>UTIL-002</x:v>
      </x:c>
      <x:c r="C85" s="1" t="str">
        <x:v>Utilities</x:v>
      </x:c>
      <x:c r="D85" s="1" t="str">
        <x:v>Embed and URL utilities</x:v>
      </x:c>
      <x:c r="E85" s="1" t="str">
        <x:v>Shared utilities</x:v>
      </x:c>
      <x:c r="F85" s="4" t="str">
        <x:v>Verify embed and url utilities follows the expected behavior: Embed code builder and URL helpers produce share/embed URLs and iframe options used by settings/share flows.</x:v>
      </x:c>
      <x:c r="G85" s="4" t="str">
        <x:v>boundary values, invalid types, malformed URLs, timezone-sensitive dates, clipboard/download fallback</x:v>
      </x:c>
      <x:c r="H85" s="4" t="str">
        <x:v>src/test/utils/embedCode.test.ts</x:v>
      </x:c>
      <x:c r="I85" s="1" t="str">
        <x:v>P1</x:v>
      </x:c>
      <x:c r="J85" s="1" t="str">
        <x:v>Implemented</x:v>
      </x:c>
      <x:c r="K85" s="1" t="str">
        <x:v>Automated pass</x:v>
      </x:c>
      <x:c r="L85" s="1" t="str"/>
      <x:c r="M85" s="1" t="str">
        <x:v>Not needed</x:v>
      </x:c>
      <x:c r="N85" s="4" t="str">
        <x:v>Embed/link generation behavior is covered by unit tests.</x:v>
      </x:c>
    </x:row>
    <x:row r="86" ht="55.5" customHeight="1">
      <x:c r="A86" s="1" t="str">
        <x:v>CASE-UTIL-003</x:v>
      </x:c>
      <x:c r="B86" s="1" t="str">
        <x:v>UTIL-003</x:v>
      </x:c>
      <x:c r="C86" s="1" t="str">
        <x:v>Utilities</x:v>
      </x:c>
      <x:c r="D86" s="1" t="str">
        <x:v>Video URL parsing</x:v>
      </x:c>
      <x:c r="E86" s="1" t="str">
        <x:v>Shared utilities</x:v>
      </x:c>
      <x:c r="F86" s="4" t="str">
        <x:v>Verify video url parsing follows the expected behavior: Video utilities parse YouTube/Vimeo/raw URLs and build embed URLs with autoplay options for video hotspots.</x:v>
      </x:c>
      <x:c r="G86" s="4" t="str">
        <x:v>boundary values, invalid types, malformed URLs, timezone-sensitive dates, clipboard/download fallback</x:v>
      </x:c>
      <x:c r="H86" s="4" t="str">
        <x:v>src/test/utils/*.test.ts</x:v>
      </x:c>
      <x:c r="I86" s="1" t="str">
        <x:v>P2</x:v>
      </x:c>
      <x:c r="J86" s="1" t="str">
        <x:v>Planned</x:v>
      </x:c>
      <x:c r="K86" s="1" t="str">
        <x:v>Pending</x:v>
      </x:c>
      <x:c r="L86" s="1" t="str"/>
      <x:c r="M86" s="1" t="str">
        <x:v>Not started</x:v>
      </x:c>
      <x:c r="N86" s="4" t="str"/>
    </x:row>
    <x:row r="87" ht="55.5" customHeight="1">
      <x:c r="A87" s="1" t="str">
        <x:v>CASE-UTIL-004</x:v>
      </x:c>
      <x:c r="B87" s="1" t="str">
        <x:v>UTIL-004</x:v>
      </x:c>
      <x:c r="C87" s="1" t="str">
        <x:v>Utilities</x:v>
      </x:c>
      <x:c r="D87" s="1" t="str">
        <x:v>Formatting utilities</x:v>
      </x:c>
      <x:c r="E87" s="1" t="str">
        <x:v>Shared utilities</x:v>
      </x:c>
      <x:c r="F87" s="4" t="str">
        <x:v>Verify formatting utilities follows the expected behavior: Formatting helpers normalize display values and parse server timestamps for activity/analytics views.</x:v>
      </x:c>
      <x:c r="G87" s="4" t="str">
        <x:v>boundary values, invalid types, malformed URLs, timezone-sensitive dates, clipboard/download fallback</x:v>
      </x:c>
      <x:c r="H87" s="4" t="str">
        <x:v>src/test/utils/format.test.ts</x:v>
      </x:c>
      <x:c r="I87" s="1" t="str">
        <x:v>P2</x:v>
      </x:c>
      <x:c r="J87" s="1" t="str">
        <x:v>Implemented</x:v>
      </x:c>
      <x:c r="K87" s="1" t="str">
        <x:v>Automated pass</x:v>
      </x:c>
      <x:c r="L87" s="1" t="str"/>
      <x:c r="M87" s="1" t="str">
        <x:v>Not needed</x:v>
      </x:c>
      <x:c r="N87" s="4" t="str">
        <x:v>Date-only formatting and display helper behavior are covered by unit tests.</x:v>
      </x:c>
    </x:row>
    <x:row r="88" ht="55.5" customHeight="1">
      <x:c r="A88" s="1" t="str">
        <x:v>CASE-UTIL-005</x:v>
      </x:c>
      <x:c r="B88" s="1" t="str">
        <x:v>UTIL-005</x:v>
      </x:c>
      <x:c r="C88" s="1" t="str">
        <x:v>Utilities</x:v>
      </x:c>
      <x:c r="D88" s="1" t="str">
        <x:v>QR code generation</x:v>
      </x:c>
      <x:c r="E88" s="1" t="str">
        <x:v>Shared utilities</x:v>
      </x:c>
      <x:c r="F88" s="4" t="str">
        <x:v>Verify qr code generation follows the expected behavior: QR utility creates QR data for the share modal and supports PNG/SVG download flows.</x:v>
      </x:c>
      <x:c r="G88" s="4" t="str">
        <x:v>boundary values, invalid types, malformed URLs, timezone-sensitive dates, clipboard/download fallback</x:v>
      </x:c>
      <x:c r="H88" s="4" t="str">
        <x:v>src/test/utils/*.test.ts</x:v>
      </x:c>
      <x:c r="I88" s="1" t="str">
        <x:v>P2</x:v>
      </x:c>
      <x:c r="J88" s="1" t="str">
        <x:v>Planned</x:v>
      </x:c>
      <x:c r="K88" s="1" t="str">
        <x:v>Pending</x:v>
      </x:c>
      <x:c r="L88" s="1" t="str"/>
      <x:c r="M88" s="1" t="str">
        <x:v>Not started</x:v>
      </x:c>
      <x:c r="N88" s="4" t="str"/>
    </x:row>
  </x:sheetData>
  <x:pageMargins left="0.7" right="0.7" top="0.75" bottom="0.75" header="0.3" footer="0.3"/>
  <x:tableParts count="1">
    <x:tablePart xmlns:r="http://schemas.openxmlformats.org/officeDocument/2006/relationships" r:id="R340e415ab9684ee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10.5600004196167" hidden="0" customWidth="1"/>
    <x:col min="3" max="3" width="28.889999389648438" hidden="0" customWidth="1"/>
    <x:col min="4" max="4" width="57.779998779296875" hidden="0" customWidth="1"/>
    <x:col min="5" max="5" width="40" hidden="0" customWidth="1"/>
    <x:col min="6" max="6" width="9.109999656677246" hidden="0" customWidth="1"/>
    <x:col min="7" max="7" width="11.109999656677246" hidden="0" customWidth="1"/>
    <x:col min="8" max="8" width="50" hidden="0" customWidth="1"/>
    <x:col min="9" max="9" width="12.220000267028809" hidden="0" customWidth="1"/>
  </x:cols>
  <x:sheetData>
    <x:row r="1">
      <x:c r="A1" s="3" t="str">
        <x:v>Defect ID</x:v>
      </x:c>
      <x:c r="B1" s="3" t="str">
        <x:v>Story ID</x:v>
      </x:c>
      <x:c r="C1" s="3" t="str">
        <x:v>Title</x:v>
      </x:c>
      <x:c r="D1" s="3" t="str">
        <x:v>Observed / Risk</x:v>
      </x:c>
      <x:c r="E1" s="3" t="str">
        <x:v>Source code</x:v>
      </x:c>
      <x:c r="F1" s="3" t="str">
        <x:v>Priority</x:v>
      </x:c>
      <x:c r="G1" s="3" t="str">
        <x:v>Status</x:v>
      </x:c>
      <x:c r="H1" s="3" t="str">
        <x:v>Resolution plan</x:v>
      </x:c>
      <x:c r="I1" s="3" t="str">
        <x:v>Retest status</x:v>
      </x:c>
    </x:row>
    <x:row r="2" ht="55.5" customHeight="1">
      <x:c r="A2" s="1" t="str">
        <x:v>DEF-001</x:v>
      </x:c>
      <x:c r="B2" s="1" t="str">
        <x:v>EDIT-024</x:v>
      </x:c>
      <x:c r="C2" s="4" t="str">
        <x:v>Bulk uploader close uses native browser confirm</x:v>
      </x:c>
      <x:c r="D2" s="4" t="str">
        <x:v>BulkUploader calls window.confirm when uploads are pending, bypassing the styled confirmation system and producing inconsistent UX.</x:v>
      </x:c>
      <x:c r="E2" s="4" t="str">
        <x:v>src/components/features/BulkUploader.tsx</x:v>
      </x:c>
      <x:c r="F2" s="1" t="str">
        <x:v>P2</x:v>
      </x:c>
      <x:c r="G2" s="1" t="str">
        <x:v>Fixed</x:v>
      </x:c>
      <x:c r="H2" s="4" t="str">
        <x:v>Replaced native confirm in BulkUploader with confirmStore and covered close/keep-open/confirm behavior.</x:v>
      </x:c>
      <x:c r="I2" s="1" t="str">
        <x:v>Retested - pass</x:v>
      </x:c>
    </x:row>
    <x:row r="3" ht="55.5" customHeight="1">
      <x:c r="A3" s="1" t="str">
        <x:v>DEF-002</x:v>
      </x:c>
      <x:c r="B3" s="1" t="str">
        <x:v>EDIT-026</x:v>
      </x:c>
      <x:c r="C3" s="4" t="str">
        <x:v>Video uploader cancel uses native browser confirm</x:v>
      </x:c>
      <x:c r="D3" s="4" t="str">
        <x:v>VideoUploader calls window.confirm when pending/uploading videos exist, bypassing the app confirmation system.</x:v>
      </x:c>
      <x:c r="E3" s="4" t="str">
        <x:v>src/components/features/VideoUploader.tsx</x:v>
      </x:c>
      <x:c r="F3" s="1" t="str">
        <x:v>P2</x:v>
      </x:c>
      <x:c r="G3" s="1" t="str">
        <x:v>Fixed</x:v>
      </x:c>
      <x:c r="H3" s="4" t="str">
        <x:v>Replaced native confirm in VideoUploader with confirmStore and covered pending-upload close behavior.</x:v>
      </x:c>
      <x:c r="I3" s="1" t="str">
        <x:v>Retested - pass</x:v>
      </x:c>
    </x:row>
    <x:row r="4" ht="55.5" customHeight="1">
      <x:c r="A4" s="1" t="str">
        <x:v>DEF-003</x:v>
      </x:c>
      <x:c r="B4" s="1" t="str">
        <x:v>EDIT-017</x:v>
      </x:c>
      <x:c r="C4" s="4" t="str">
        <x:v>Floor plan upload failure can persist blob URL</x:v>
      </x:c>
      <x:c r="D4" s="4" t="str">
        <x:v>FloorPlanEditor falls back to URL.createObjectURL(file) on upload failure and can save that temporary blob as image_url, which will break after reload or for other users.</x:v>
      </x:c>
      <x:c r="E4" s="4" t="str">
        <x:v>src/components/features/FloorPlanEditor.tsx</x:v>
      </x:c>
      <x:c r="F4" s="1" t="str">
        <x:v>P1</x:v>
      </x:c>
      <x:c r="G4" s="1" t="str">
        <x:v>Fixed</x:v>
      </x:c>
      <x:c r="H4" s="4" t="str">
        <x:v>Removed blob URL persistence fallback; failed image uploads now surface an inline error and leave the saved URL unchanged.</x:v>
      </x:c>
      <x:c r="I4" s="1" t="str">
        <x:v>Retested - pass</x:v>
      </x:c>
    </x:row>
    <x:row r="5" ht="55.5" customHeight="1">
      <x:c r="A5" s="1" t="str">
        <x:v>DEF-004</x:v>
      </x:c>
      <x:c r="B5" s="1" t="str">
        <x:v>EDIT-018</x:v>
      </x:c>
      <x:c r="C5" s="4" t="str">
        <x:v>Scene analysis selection indicator is inert</x:v>
      </x:c>
      <x:c r="D5" s="4" t="str">
        <x:v>The visual checkbox inside a scene analysis result stops propagation but does not toggle selection, so clicking the apparent control does nothing.</x:v>
      </x:c>
      <x:c r="E5" s="4" t="str">
        <x:v>src/components/features/ai/SceneAnalysis.tsx</x:v>
      </x:c>
      <x:c r="F5" s="1" t="str">
        <x:v>P2</x:v>
      </x:c>
      <x:c r="G5" s="1" t="str">
        <x:v>Fixed</x:v>
      </x:c>
      <x:c r="H5" s="4" t="str">
        <x:v>Made the scene-analysis selection indicator an accessible checkbox with pointer and keyboard toggling.</x:v>
      </x:c>
      <x:c r="I5" s="1" t="str">
        <x:v>Retested - pass</x:v>
      </x:c>
    </x:row>
    <x:row r="6" ht="55.5" customHeight="1">
      <x:c r="A6" s="1" t="str">
        <x:v>DEF-005</x:v>
      </x:c>
      <x:c r="B6" s="1" t="str">
        <x:v>EDIT-025</x:v>
      </x:c>
      <x:c r="C6" s="4" t="str">
        <x:v>Custom domain validation rejects recommended subdomains</x:v>
      </x:c>
      <x:c r="D6" s="4" t="str">
        <x:v>CustomDomainSetup recommends tours.yourcompany.com but the regex only accepts a single dot domain such as yourcompany.com.</x:v>
      </x:c>
      <x:c r="E6" s="4" t="str">
        <x:v>src/components/features/CustomDomainSetup.tsx</x:v>
      </x:c>
      <x:c r="F6" s="1" t="str">
        <x:v>P2</x:v>
      </x:c>
      <x:c r="G6" s="1" t="str">
        <x:v>Fixed</x:v>
      </x:c>
      <x:c r="H6" s="4" t="str">
        <x:v>Normalized custom-domain input and allowed valid multi-label hostnames while rejecting malformed labels.</x:v>
      </x:c>
      <x:c r="I6" s="1" t="str">
        <x:v>Retested - pass</x:v>
      </x:c>
    </x:row>
    <x:row r="7" ht="55.5" customHeight="1">
      <x:c r="A7" s="1" t="str">
        <x:v>DEF-006</x:v>
      </x:c>
      <x:c r="B7" s="1" t="str">
        <x:v>EDIT-021</x:v>
      </x:c>
      <x:c r="C7" s="4" t="str">
        <x:v>Video progress widths can render NaN before metadata loads</x:v>
      </x:c>
      <x:c r="D7" s="4" t="str">
        <x:v>VideoPlayer computes buffered/duration and currentTime/duration while duration can be 0, producing NaN percent widths.</x:v>
      </x:c>
      <x:c r="E7" s="4" t="str">
        <x:v>src/components/features/VideoPlayer.tsx</x:v>
      </x:c>
      <x:c r="F7" s="1" t="str">
        <x:v>P3</x:v>
      </x:c>
      <x:c r="G7" s="1" t="str">
        <x:v>Fixed</x:v>
      </x:c>
      <x:c r="H7" s="4" t="str">
        <x:v>Added a safe progress percentage helper so zero/unknown duration never renders NaN styles.</x:v>
      </x:c>
      <x:c r="I7" s="1" t="str">
        <x:v>Retested - pass</x:v>
      </x:c>
    </x:row>
    <x:row r="8" ht="55.5" customHeight="1">
      <x:c r="A8" s="1" t="str">
        <x:v>DEF-007</x:v>
      </x:c>
      <x:c r="B8" s="1" t="str">
        <x:v>VIEW-007</x:v>
      </x:c>
      <x:c r="C8" s="4" t="str">
        <x:v>Unload analytics keepalive rejection can surface as an unhandled promise</x:v>
      </x:c>
      <x:c r="D8" s="4" t="str">
        <x:v>The public tracking hook fired a keepalive fetch during unmount without handling a rejected promise, so analytics network failures could leak into runtime or test errors.</x:v>
      </x:c>
      <x:c r="E8" s="4" t="str">
        <x:v>src/hooks/usePublicTourTracking.ts</x:v>
      </x:c>
      <x:c r="F8" s="1" t="str">
        <x:v>P2</x:v>
      </x:c>
      <x:c r="G8" s="1" t="str">
        <x:v>Fixed</x:v>
      </x:c>
      <x:c r="H8" s="4" t="str">
        <x:v>Added a catch handler to keepalive fetch during unload and covered the rejected-fetch path.</x:v>
      </x:c>
      <x:c r="I8" s="1" t="str">
        <x:v>Retested - pass</x:v>
      </x:c>
    </x:row>
  </x:sheetData>
  <x:pageMargins left="0.7" right="0.7" top="0.75" bottom="0.75" header="0.3" footer="0.3"/>
  <x:tableParts count="1">
    <x:tablePart xmlns:r="http://schemas.openxmlformats.org/officeDocument/2006/relationships" r:id="R8525d2cd445a42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7.780000686645508" hidden="0" customWidth="1"/>
    <x:col min="2" max="2" width="75.55999755859375" hidden="0" customWidth="1"/>
  </x:cols>
  <x:sheetData>
    <x:row r="1">
      <x:c r="A1" s="13" t="str">
        <x:v>Workbook operating notes</x:v>
      </x:c>
      <x:c r="B1" t="str"/>
      <x:c r="C1" t="str"/>
      <x:c r="D1" t="str"/>
    </x:row>
    <x:row r="3">
      <x:c r="A3" s="15" t="str">
        <x:v>Purpose</x:v>
      </x:c>
      <x:c r="B3" s="4" t="str">
        <x:v>Single canonical tracker for feature stories, expected behavior, story-level test cases, defects, and planned tests.</x:v>
      </x:c>
      <x:c r="C3" s="1" t="str"/>
      <x:c r="D3" s="1" t="str"/>
    </x:row>
    <x:row r="4">
      <x:c r="A4" s="15" t="str">
        <x:v>Source of truth</x:v>
      </x:c>
      <x:c r="B4" s="4" t="str">
        <x:v>Story Tracker sheet. Edit Status, Test status, Error IDs, Fix status, and Test case file as verification progresses.</x:v>
      </x:c>
      <x:c r="C4" s="1" t="str"/>
      <x:c r="D4" s="1" t="str"/>
    </x:row>
    <x:row r="5">
      <x:c r="A5" s="15" t="str">
        <x:v>Status policy</x:v>
      </x:c>
      <x:c r="B5" s="4" t="str">
        <x:v>Start as Code inferred, move to Tested - pass or Tested - issues found after behavior checks, then Fixed - needs retest and Retested - pass after fixes.</x:v>
      </x:c>
      <x:c r="C5" s="1" t="str"/>
      <x:c r="D5" s="1" t="str"/>
    </x:row>
    <x:row r="6">
      <x:c r="A6" s="15" t="str">
        <x:v>Defect policy</x:v>
      </x:c>
      <x:c r="B6" s="4" t="str">
        <x:v>Every UX/logistical error found during testing should have a Defects row and be linked from Story Tracker Error IDs.</x:v>
      </x:c>
      <x:c r="C6" s="1" t="str"/>
      <x:c r="D6" s="1" t="str"/>
    </x:row>
    <x:row r="7">
      <x:c r="A7" s="15" t="str">
        <x:v>Test policy</x:v>
      </x:c>
      <x:c r="B7" s="4" t="str">
        <x:v>Story Test Cases defines one behavior test case per story. Test Matrix defines the target folder/file structure for behavior-focused test suites. Automated partial means the listed behavior group now has executable coverage, but not every edge case in that group is fully automated yet.</x:v>
      </x:c>
      <x:c r="C7" s="1" t="str"/>
      <x:c r="D7" s="1" t="str"/>
    </x:row>
    <x:row r="8">
      <x:c r="A8" s="15" t="str">
        <x:v>Repository</x:v>
      </x:c>
      <x:c r="B8" s="4" t="str">
        <x:v>/Users/sakshammittal/Documents/360ghar/github/360-tours-viewer/360-viewer</x:v>
      </x:c>
      <x:c r="C8" s="1" t="str"/>
      <x:c r="D8" s="1" t="str"/>
    </x:row>
    <x:row r="9">
      <x:c r="A9" s="15" t="str">
        <x:v>Generated by</x:v>
      </x:c>
      <x:c r="B9" s="4" t="str">
        <x:v>Codex goal audit from code inspection, behavior checks, fixes, and retest loop.</x:v>
      </x:c>
      <x:c r="C9" s="1" t="str"/>
      <x:c r="D9" s="1" t="str"/>
    </x:row>
    <x:row r="10">
      <x:c r="A10" s="15" t="str">
        <x:v>Final app checks</x:v>
      </x:c>
      <x:c r="B10" s="4" t="str">
        <x:v>npm run type-check, npm run lint, npm run test:run, npm run build.</x:v>
      </x:c>
      <x:c r="C10" s="1" t="str"/>
      <x:c r="D10" s="1" t="str"/>
    </x:row>
    <x:row r="11">
      <x:c r="A11" s="15" t="str">
        <x:v>Final E2E check</x:v>
      </x:c>
      <x:c r="B11" s="4" t="str">
        <x:v>npx playwright test e2e/auth.spec.ts --project=chromium --reporter=list.</x:v>
      </x:c>
      <x:c r="C11" s="1" t="str"/>
      <x:c r="D11" s="1" t="str"/>
    </x:row>
    <x:row r="12">
      <x:c r="A12" s="15" t="str">
        <x:v>Automated test count</x:v>
      </x:c>
      <x:c r="B12" s="4" t="str">
        <x:v>355 app tests plus 87 Chromium end-to-end smoke tests passed before this final workbook refresh.</x:v>
      </x:c>
      <x:c r="C12" s="1" t="str"/>
      <x:c r="D12" s="1" t="str"/>
    </x:row>
    <x:row r="13">
      <x:c r="A13" s="15" t="str">
        <x:v>Residual coverage note</x:v>
      </x:c>
      <x:c r="B13" s="4" t="str">
        <x:v>Broad areas still marked Pending in Story Tracker are documented from code and need deeper manual/product acceptance or future automated expansion.</x:v>
      </x:c>
      <x:c r="C13" s="1" t="str"/>
      <x:c r="D13" s="1" t="str"/>
    </x:row>
  </x:sheetData>
  <x:mergeCells>
    <x:mergeCell ref="A1:D1"/>
  </x:mergeCells>
  <x:pageMargins left="0.7" right="0.7" top="0.75" bottom="0.75" header="0.3" footer="0.3"/>
</x:worksheet>
</file>